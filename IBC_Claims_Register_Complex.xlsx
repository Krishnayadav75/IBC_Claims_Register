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rishna Yadav\Downloads\"/>
    </mc:Choice>
  </mc:AlternateContent>
  <xr:revisionPtr revIDLastSave="0" documentId="13_ncr:1_{82E74E11-A1C3-4FA3-BF7B-7FE8EB4B386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Master_Claims_Register" sheetId="1" r:id="rId1"/>
    <sheet name="Category_Summary" sheetId="2" r:id="rId2"/>
    <sheet name="IT_Department_Detail" sheetId="3" r:id="rId3"/>
    <sheet name="Priority_Waterfall" sheetId="4" r:id="rId4"/>
    <sheet name="CIRP_Timeline" sheetId="5" r:id="rId5"/>
    <sheet name="Audit_Log" sheetId="6" r:id="rId6"/>
  </sheets>
  <definedNames>
    <definedName name="_xlnm._FilterDatabase" localSheetId="2" hidden="1">IT_Department_Detail!$A$1:$Z$20</definedName>
    <definedName name="_xlnm._FilterDatabase" localSheetId="0" hidden="1">Master_Claims_Register!$A$1:$P$126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4" l="1"/>
  <c r="J10" i="4"/>
  <c r="I10" i="4"/>
  <c r="F10" i="4"/>
  <c r="J9" i="4"/>
  <c r="I9" i="4"/>
  <c r="F9" i="4"/>
  <c r="J8" i="4"/>
  <c r="I8" i="4"/>
  <c r="F8" i="4"/>
  <c r="J7" i="4"/>
  <c r="I7" i="4"/>
  <c r="F7" i="4"/>
  <c r="J6" i="4"/>
  <c r="I6" i="4"/>
  <c r="F6" i="4"/>
  <c r="J5" i="4"/>
  <c r="I5" i="4"/>
  <c r="F5" i="4"/>
  <c r="J4" i="4"/>
  <c r="I4" i="4"/>
  <c r="F4" i="4"/>
  <c r="J3" i="4"/>
  <c r="I3" i="4"/>
  <c r="F3" i="4"/>
  <c r="J2" i="4"/>
  <c r="J11" i="4" s="1"/>
  <c r="I2" i="4"/>
  <c r="I11" i="4" s="1"/>
  <c r="G2" i="4"/>
  <c r="G3" i="4" s="1"/>
  <c r="G4" i="4" s="1"/>
  <c r="G5" i="4" s="1"/>
  <c r="G6" i="4" s="1"/>
  <c r="G7" i="4" s="1"/>
  <c r="G8" i="4" s="1"/>
  <c r="G9" i="4" s="1"/>
  <c r="G10" i="4" s="1"/>
  <c r="F2" i="4"/>
  <c r="N20" i="3"/>
  <c r="L20" i="3"/>
  <c r="K20" i="3"/>
  <c r="J20" i="3"/>
  <c r="H20" i="3"/>
  <c r="G20" i="3"/>
  <c r="M19" i="3"/>
  <c r="O19" i="3" s="1"/>
  <c r="I19" i="3"/>
  <c r="O18" i="3"/>
  <c r="M18" i="3"/>
  <c r="I18" i="3"/>
  <c r="O17" i="3"/>
  <c r="M17" i="3"/>
  <c r="I17" i="3"/>
  <c r="M16" i="3"/>
  <c r="I16" i="3"/>
  <c r="O16" i="3" s="1"/>
  <c r="M15" i="3"/>
  <c r="I15" i="3"/>
  <c r="O15" i="3" s="1"/>
  <c r="O14" i="3"/>
  <c r="M14" i="3"/>
  <c r="I14" i="3"/>
  <c r="O13" i="3"/>
  <c r="M13" i="3"/>
  <c r="I13" i="3"/>
  <c r="M12" i="3"/>
  <c r="I12" i="3"/>
  <c r="O12" i="3" s="1"/>
  <c r="M11" i="3"/>
  <c r="I11" i="3"/>
  <c r="O11" i="3" s="1"/>
  <c r="O10" i="3"/>
  <c r="M10" i="3"/>
  <c r="I10" i="3"/>
  <c r="O9" i="3"/>
  <c r="M9" i="3"/>
  <c r="I9" i="3"/>
  <c r="M8" i="3"/>
  <c r="I8" i="3"/>
  <c r="O8" i="3" s="1"/>
  <c r="M7" i="3"/>
  <c r="I7" i="3"/>
  <c r="O7" i="3" s="1"/>
  <c r="O6" i="3"/>
  <c r="M6" i="3"/>
  <c r="I6" i="3"/>
  <c r="O5" i="3"/>
  <c r="M5" i="3"/>
  <c r="I5" i="3"/>
  <c r="M4" i="3"/>
  <c r="I4" i="3"/>
  <c r="O4" i="3" s="1"/>
  <c r="M3" i="3"/>
  <c r="I3" i="3"/>
  <c r="O3" i="3" s="1"/>
  <c r="O2" i="3"/>
  <c r="M2" i="3"/>
  <c r="M20" i="3" s="1"/>
  <c r="I2" i="3"/>
  <c r="I20" i="3" s="1"/>
  <c r="J5" i="2"/>
  <c r="I5" i="2"/>
  <c r="H5" i="2"/>
  <c r="E5" i="2"/>
  <c r="D5" i="2"/>
  <c r="C5" i="2"/>
  <c r="B5" i="2"/>
  <c r="K5" i="2" s="1"/>
  <c r="J4" i="2"/>
  <c r="I4" i="2"/>
  <c r="H4" i="2"/>
  <c r="E4" i="2"/>
  <c r="D4" i="2"/>
  <c r="C4" i="2"/>
  <c r="B4" i="2"/>
  <c r="K4" i="2" s="1"/>
  <c r="J3" i="2"/>
  <c r="I3" i="2"/>
  <c r="H3" i="2"/>
  <c r="E3" i="2"/>
  <c r="D3" i="2"/>
  <c r="C3" i="2"/>
  <c r="B3" i="2"/>
  <c r="K3" i="2" s="1"/>
  <c r="J2" i="2"/>
  <c r="J6" i="2" s="1"/>
  <c r="I2" i="2"/>
  <c r="I6" i="2" s="1"/>
  <c r="H2" i="2"/>
  <c r="H6" i="2" s="1"/>
  <c r="E2" i="2"/>
  <c r="E6" i="2" s="1"/>
  <c r="D2" i="2"/>
  <c r="D6" i="2" s="1"/>
  <c r="C2" i="2"/>
  <c r="C6" i="2" s="1"/>
  <c r="B2" i="2"/>
  <c r="K2" i="2" s="1"/>
  <c r="K6" i="2" s="1"/>
  <c r="H126" i="1"/>
  <c r="G126" i="1"/>
  <c r="F126" i="1"/>
  <c r="G5" i="2" l="1"/>
  <c r="G3" i="2"/>
  <c r="G4" i="2"/>
  <c r="G2" i="2"/>
  <c r="O20" i="3"/>
  <c r="F4" i="2"/>
  <c r="B6" i="2"/>
  <c r="F2" i="2"/>
  <c r="F6" i="2" s="1"/>
  <c r="F3" i="2"/>
  <c r="F5" i="2"/>
  <c r="G6" i="2" l="1"/>
</calcChain>
</file>

<file path=xl/sharedStrings.xml><?xml version="1.0" encoding="utf-8"?>
<sst xmlns="http://schemas.openxmlformats.org/spreadsheetml/2006/main" count="1775" uniqueCount="780">
  <si>
    <t>S.No.</t>
  </si>
  <si>
    <t>Claim_ID</t>
  </si>
  <si>
    <t>Creditor_Name</t>
  </si>
  <si>
    <t>Creditor_Type</t>
  </si>
  <si>
    <t>Sub_Category</t>
  </si>
  <si>
    <t>Claim_Amount_INR</t>
  </si>
  <si>
    <t>Verified_Amount_INR</t>
  </si>
  <si>
    <t>Disputed_Amount_INR</t>
  </si>
  <si>
    <t>Date_of_Claim</t>
  </si>
  <si>
    <t>Verification_Date</t>
  </si>
  <si>
    <t>Status</t>
  </si>
  <si>
    <t>Priority_Rank</t>
  </si>
  <si>
    <t>Resolution_Plan</t>
  </si>
  <si>
    <t>Assigned_Officer</t>
  </si>
  <si>
    <t>Remarks</t>
  </si>
  <si>
    <t>Last_Updated</t>
  </si>
  <si>
    <t>CR-001</t>
  </si>
  <si>
    <t>State Bank of India</t>
  </si>
  <si>
    <t>Financial</t>
  </si>
  <si>
    <t>Term Loan</t>
  </si>
  <si>
    <t>10-Oct-2024</t>
  </si>
  <si>
    <t>10-Feb-2026</t>
  </si>
  <si>
    <t>Admitted</t>
  </si>
  <si>
    <t>Haircut Negotiation</t>
  </si>
  <si>
    <t>M. Jain</t>
  </si>
  <si>
    <t>23-Mar-2026</t>
  </si>
  <si>
    <t>CR-002</t>
  </si>
  <si>
    <t>Punjab National Bank</t>
  </si>
  <si>
    <t>Working Capital</t>
  </si>
  <si>
    <t>15-Nov-2024</t>
  </si>
  <si>
    <t>01-Jan-2026</t>
  </si>
  <si>
    <t>Liquidation Value</t>
  </si>
  <si>
    <t>A. Verma</t>
  </si>
  <si>
    <t>CR-003</t>
  </si>
  <si>
    <t>HDFC Bank</t>
  </si>
  <si>
    <t>20-Dec-2024</t>
  </si>
  <si>
    <t>01-Mar-2026</t>
  </si>
  <si>
    <t>Resolution Plan B</t>
  </si>
  <si>
    <t>K. Patel</t>
  </si>
  <si>
    <t>CR-004</t>
  </si>
  <si>
    <t>ICICI Bank</t>
  </si>
  <si>
    <t>Cash Credit</t>
  </si>
  <si>
    <t>05-Jan-2025</t>
  </si>
  <si>
    <t>28-Feb-2026</t>
  </si>
  <si>
    <t>S. Gupta</t>
  </si>
  <si>
    <t>CR-005</t>
  </si>
  <si>
    <t>Axis Bank</t>
  </si>
  <si>
    <t>Overdraft</t>
  </si>
  <si>
    <t>10-Feb-2025</t>
  </si>
  <si>
    <t>08-Dec-2025</t>
  </si>
  <si>
    <t>Going Concern</t>
  </si>
  <si>
    <t>N. Singh</t>
  </si>
  <si>
    <t>CR-006</t>
  </si>
  <si>
    <t>Bank of Baroda</t>
  </si>
  <si>
    <t>15-Mar-2025</t>
  </si>
  <si>
    <t>29-Jan-2026</t>
  </si>
  <si>
    <t>Tribunal Order</t>
  </si>
  <si>
    <t>CR-007</t>
  </si>
  <si>
    <t>Union Bank</t>
  </si>
  <si>
    <t>20-Apr-2025</t>
  </si>
  <si>
    <t>02-Jan-2026</t>
  </si>
  <si>
    <t>CR-008</t>
  </si>
  <si>
    <t>Canara Bank</t>
  </si>
  <si>
    <t>25-May-2025</t>
  </si>
  <si>
    <t>15-Feb-2026</t>
  </si>
  <si>
    <t>CR-009</t>
  </si>
  <si>
    <t>Kotak Mahindra Bank</t>
  </si>
  <si>
    <t>30-Jun-2025</t>
  </si>
  <si>
    <t>11-Dec-2025</t>
  </si>
  <si>
    <t>Resolution Plan A</t>
  </si>
  <si>
    <t>CR-010</t>
  </si>
  <si>
    <t>IndusInd Bank</t>
  </si>
  <si>
    <t>05-Jul-2025</t>
  </si>
  <si>
    <t>01-Feb-2026</t>
  </si>
  <si>
    <t>CR-011</t>
  </si>
  <si>
    <t>Alpha Steel Suppliers</t>
  </si>
  <si>
    <t>Operational</t>
  </si>
  <si>
    <t>Raw Material Supply</t>
  </si>
  <si>
    <t>12-Aug-2025</t>
  </si>
  <si>
    <t>20-Dec-2025</t>
  </si>
  <si>
    <t>Under Review</t>
  </si>
  <si>
    <t>P. Kumar</t>
  </si>
  <si>
    <t>CR-012</t>
  </si>
  <si>
    <t>Beta Cement Co.</t>
  </si>
  <si>
    <t>Construction Material</t>
  </si>
  <si>
    <t>18-Aug-2025</t>
  </si>
  <si>
    <t>26-Feb-2026</t>
  </si>
  <si>
    <t>CR-013</t>
  </si>
  <si>
    <t>Gamma Transports</t>
  </si>
  <si>
    <t>Logistics &amp; Freight</t>
  </si>
  <si>
    <t>25-Aug-2025</t>
  </si>
  <si>
    <t>24-Dec-2025</t>
  </si>
  <si>
    <t>Settlement</t>
  </si>
  <si>
    <t>D. Rao</t>
  </si>
  <si>
    <t>CR-014</t>
  </si>
  <si>
    <t>Delta IT Services</t>
  </si>
  <si>
    <t>IT Infrastructure</t>
  </si>
  <si>
    <t>02-Sep-2025</t>
  </si>
  <si>
    <t>R. Sharma IRP</t>
  </si>
  <si>
    <t>CR-015</t>
  </si>
  <si>
    <t>Epsilon Marketing</t>
  </si>
  <si>
    <t>Advertising &amp; Promo</t>
  </si>
  <si>
    <t>09-Sep-2025</t>
  </si>
  <si>
    <t>16-Jan-2026</t>
  </si>
  <si>
    <t>CR-016</t>
  </si>
  <si>
    <t>Supplier_01</t>
  </si>
  <si>
    <t>Logistics</t>
  </si>
  <si>
    <t>16-Sep-2025</t>
  </si>
  <si>
    <t>10-Jan-2026</t>
  </si>
  <si>
    <t>Pending</t>
  </si>
  <si>
    <t>CR-017</t>
  </si>
  <si>
    <t>Supplier_02</t>
  </si>
  <si>
    <t>IT Support</t>
  </si>
  <si>
    <t>17-Sep-2025</t>
  </si>
  <si>
    <t>28-Jan-2026</t>
  </si>
  <si>
    <t>Pending Decision</t>
  </si>
  <si>
    <t>CR-018</t>
  </si>
  <si>
    <t>Supplier_03</t>
  </si>
  <si>
    <t>Maintenance</t>
  </si>
  <si>
    <t>18-Sep-2025</t>
  </si>
  <si>
    <t>12-Jan-2026</t>
  </si>
  <si>
    <t>CR-019</t>
  </si>
  <si>
    <t>Supplier_04</t>
  </si>
  <si>
    <t>Consulting</t>
  </si>
  <si>
    <t>19-Sep-2025</t>
  </si>
  <si>
    <t>18-Dec-2025</t>
  </si>
  <si>
    <t>CR-020</t>
  </si>
  <si>
    <t>Supplier_05</t>
  </si>
  <si>
    <t>Security Services</t>
  </si>
  <si>
    <t>20-Sep-2025</t>
  </si>
  <si>
    <t>21-Jan-2026</t>
  </si>
  <si>
    <t>CR-021</t>
  </si>
  <si>
    <t>Supplier_06</t>
  </si>
  <si>
    <t>Catering</t>
  </si>
  <si>
    <t>21-Sep-2025</t>
  </si>
  <si>
    <t>CR-022</t>
  </si>
  <si>
    <t>Supplier_07</t>
  </si>
  <si>
    <t>Housekeeping</t>
  </si>
  <si>
    <t>22-Sep-2025</t>
  </si>
  <si>
    <t>23-Feb-2026</t>
  </si>
  <si>
    <t>CR-023</t>
  </si>
  <si>
    <t>Supplier_08</t>
  </si>
  <si>
    <t>Legal Advisory</t>
  </si>
  <si>
    <t>23-Sep-2025</t>
  </si>
  <si>
    <t>CR-024</t>
  </si>
  <si>
    <t>Supplier_09</t>
  </si>
  <si>
    <t>HR Outsourcing</t>
  </si>
  <si>
    <t>24-Sep-2025</t>
  </si>
  <si>
    <t>24-Feb-2026</t>
  </si>
  <si>
    <t>CR-025</t>
  </si>
  <si>
    <t>Supplier_10</t>
  </si>
  <si>
    <t>Equipment Rental</t>
  </si>
  <si>
    <t>25-Sep-2025</t>
  </si>
  <si>
    <t>31-Jan-2026</t>
  </si>
  <si>
    <t>CR-026</t>
  </si>
  <si>
    <t>Supplier_11</t>
  </si>
  <si>
    <t>Power Supply</t>
  </si>
  <si>
    <t>26-Sep-2025</t>
  </si>
  <si>
    <t>CR-027</t>
  </si>
  <si>
    <t>Supplier_12</t>
  </si>
  <si>
    <t>Water Treatment</t>
  </si>
  <si>
    <t>27-Sep-2025</t>
  </si>
  <si>
    <t>20-Feb-2026</t>
  </si>
  <si>
    <t>CR-028</t>
  </si>
  <si>
    <t>Supplier_13</t>
  </si>
  <si>
    <t>Waste Management</t>
  </si>
  <si>
    <t>28-Sep-2025</t>
  </si>
  <si>
    <t>19-Dec-2025</t>
  </si>
  <si>
    <t>CR-029</t>
  </si>
  <si>
    <t>Supplier_14</t>
  </si>
  <si>
    <t>Insurance</t>
  </si>
  <si>
    <t>29-Sep-2025</t>
  </si>
  <si>
    <t>CR-030</t>
  </si>
  <si>
    <t>Supplier_15</t>
  </si>
  <si>
    <t>Raw Material</t>
  </si>
  <si>
    <t>30-Sep-2025</t>
  </si>
  <si>
    <t>01-Dec-2025</t>
  </si>
  <si>
    <t>CR-031</t>
  </si>
  <si>
    <t>Supplier_16</t>
  </si>
  <si>
    <t>01-Oct-2025</t>
  </si>
  <si>
    <t>19-Jan-2026</t>
  </si>
  <si>
    <t>CR-032</t>
  </si>
  <si>
    <t>Supplier_17</t>
  </si>
  <si>
    <t>02-Oct-2025</t>
  </si>
  <si>
    <t>02-Feb-2026</t>
  </si>
  <si>
    <t>CR-033</t>
  </si>
  <si>
    <t>Supplier_18</t>
  </si>
  <si>
    <t>03-Oct-2025</t>
  </si>
  <si>
    <t>17-Feb-2026</t>
  </si>
  <si>
    <t>CR-034</t>
  </si>
  <si>
    <t>Supplier_19</t>
  </si>
  <si>
    <t>04-Oct-2025</t>
  </si>
  <si>
    <t>CR-035</t>
  </si>
  <si>
    <t>Supplier_20</t>
  </si>
  <si>
    <t>05-Oct-2025</t>
  </si>
  <si>
    <t>27-Jan-2026</t>
  </si>
  <si>
    <t>CR-036</t>
  </si>
  <si>
    <t>Supplier_21</t>
  </si>
  <si>
    <t>06-Oct-2025</t>
  </si>
  <si>
    <t>03-Feb-2026</t>
  </si>
  <si>
    <t>CR-037</t>
  </si>
  <si>
    <t>Supplier_22</t>
  </si>
  <si>
    <t>07-Oct-2025</t>
  </si>
  <si>
    <t>03-Jan-2026</t>
  </si>
  <si>
    <t>CR-038</t>
  </si>
  <si>
    <t>Supplier_23</t>
  </si>
  <si>
    <t>08-Oct-2025</t>
  </si>
  <si>
    <t>CR-039</t>
  </si>
  <si>
    <t>Supplier_24</t>
  </si>
  <si>
    <t>09-Oct-2025</t>
  </si>
  <si>
    <t>CR-040</t>
  </si>
  <si>
    <t>Supplier_25</t>
  </si>
  <si>
    <t>10-Oct-2025</t>
  </si>
  <si>
    <t>05-Dec-2025</t>
  </si>
  <si>
    <t>CR-041</t>
  </si>
  <si>
    <t>Supplier_26</t>
  </si>
  <si>
    <t>11-Oct-2025</t>
  </si>
  <si>
    <t>22-Feb-2026</t>
  </si>
  <si>
    <t>CR-042</t>
  </si>
  <si>
    <t>Supplier_27</t>
  </si>
  <si>
    <t>12-Oct-2025</t>
  </si>
  <si>
    <t>CR-043</t>
  </si>
  <si>
    <t>Supplier_28</t>
  </si>
  <si>
    <t>13-Oct-2025</t>
  </si>
  <si>
    <t>18-Jan-2026</t>
  </si>
  <si>
    <t>CR-044</t>
  </si>
  <si>
    <t>Supplier_29</t>
  </si>
  <si>
    <t>14-Oct-2025</t>
  </si>
  <si>
    <t>06-Jan-2026</t>
  </si>
  <si>
    <t>CR-045</t>
  </si>
  <si>
    <t>Supplier_30</t>
  </si>
  <si>
    <t>15-Oct-2025</t>
  </si>
  <si>
    <t>21-Feb-2026</t>
  </si>
  <si>
    <t>CR-046</t>
  </si>
  <si>
    <t>Supplier_31</t>
  </si>
  <si>
    <t>16-Oct-2025</t>
  </si>
  <si>
    <t>CR-047</t>
  </si>
  <si>
    <t>Supplier_32</t>
  </si>
  <si>
    <t>17-Oct-2025</t>
  </si>
  <si>
    <t>CR-048</t>
  </si>
  <si>
    <t>Supplier_33</t>
  </si>
  <si>
    <t>18-Oct-2025</t>
  </si>
  <si>
    <t>CR-049</t>
  </si>
  <si>
    <t>Supplier_34</t>
  </si>
  <si>
    <t>19-Oct-2025</t>
  </si>
  <si>
    <t>21-Dec-2025</t>
  </si>
  <si>
    <t>CR-050</t>
  </si>
  <si>
    <t>Supplier_35</t>
  </si>
  <si>
    <t>20-Oct-2025</t>
  </si>
  <si>
    <t>CR-051</t>
  </si>
  <si>
    <t>Supplier_36</t>
  </si>
  <si>
    <t>21-Oct-2025</t>
  </si>
  <si>
    <t>06-Feb-2026</t>
  </si>
  <si>
    <t>CR-052</t>
  </si>
  <si>
    <t>Supplier_37</t>
  </si>
  <si>
    <t>22-Oct-2025</t>
  </si>
  <si>
    <t>22-Dec-2025</t>
  </si>
  <si>
    <t>CR-053</t>
  </si>
  <si>
    <t>Supplier_38</t>
  </si>
  <si>
    <t>23-Oct-2025</t>
  </si>
  <si>
    <t>CR-054</t>
  </si>
  <si>
    <t>Supplier_39</t>
  </si>
  <si>
    <t>24-Oct-2025</t>
  </si>
  <si>
    <t>30-Dec-2025</t>
  </si>
  <si>
    <t>CR-055</t>
  </si>
  <si>
    <t>Supplier_40</t>
  </si>
  <si>
    <t>25-Oct-2025</t>
  </si>
  <si>
    <t>25-Dec-2025</t>
  </si>
  <si>
    <t>CR-056</t>
  </si>
  <si>
    <t>Supplier_41</t>
  </si>
  <si>
    <t>26-Oct-2025</t>
  </si>
  <si>
    <t>19-Feb-2026</t>
  </si>
  <si>
    <t>CR-057</t>
  </si>
  <si>
    <t>Supplier_42</t>
  </si>
  <si>
    <t>27-Oct-2025</t>
  </si>
  <si>
    <t>12-Feb-2026</t>
  </si>
  <si>
    <t>CR-058</t>
  </si>
  <si>
    <t>Supplier_43</t>
  </si>
  <si>
    <t>28-Oct-2025</t>
  </si>
  <si>
    <t>04-Dec-2025</t>
  </si>
  <si>
    <t>CR-059</t>
  </si>
  <si>
    <t>Supplier_44</t>
  </si>
  <si>
    <t>29-Oct-2025</t>
  </si>
  <si>
    <t>CR-060</t>
  </si>
  <si>
    <t>Supplier_45</t>
  </si>
  <si>
    <t>30-Oct-2025</t>
  </si>
  <si>
    <t>11-Jan-2026</t>
  </si>
  <si>
    <t>CR-061</t>
  </si>
  <si>
    <t>Supplier_46</t>
  </si>
  <si>
    <t>31-Oct-2025</t>
  </si>
  <si>
    <t>14-Feb-2026</t>
  </si>
  <si>
    <t>CR-062</t>
  </si>
  <si>
    <t>Supplier_47</t>
  </si>
  <si>
    <t>01-Nov-2025</t>
  </si>
  <si>
    <t>24-Jan-2026</t>
  </si>
  <si>
    <t>CR-063</t>
  </si>
  <si>
    <t>Supplier_48</t>
  </si>
  <si>
    <t>02-Nov-2025</t>
  </si>
  <si>
    <t>CR-064</t>
  </si>
  <si>
    <t>Supplier_49</t>
  </si>
  <si>
    <t>03-Nov-2025</t>
  </si>
  <si>
    <t>30-Jan-2026</t>
  </si>
  <si>
    <t>CR-065</t>
  </si>
  <si>
    <t>Supplier_50</t>
  </si>
  <si>
    <t>04-Nov-2025</t>
  </si>
  <si>
    <t>27-Dec-2025</t>
  </si>
  <si>
    <t>CR-066</t>
  </si>
  <si>
    <t>Supplier_51</t>
  </si>
  <si>
    <t>05-Nov-2025</t>
  </si>
  <si>
    <t>14-Jan-2026</t>
  </si>
  <si>
    <t>CR-067</t>
  </si>
  <si>
    <t>Supplier_52</t>
  </si>
  <si>
    <t>06-Nov-2025</t>
  </si>
  <si>
    <t>CR-068</t>
  </si>
  <si>
    <t>Supplier_53</t>
  </si>
  <si>
    <t>07-Nov-2025</t>
  </si>
  <si>
    <t>25-Jan-2026</t>
  </si>
  <si>
    <t>CR-069</t>
  </si>
  <si>
    <t>Supplier_54</t>
  </si>
  <si>
    <t>08-Nov-2025</t>
  </si>
  <si>
    <t>05-Jan-2026</t>
  </si>
  <si>
    <t>CR-070</t>
  </si>
  <si>
    <t>Supplier_55</t>
  </si>
  <si>
    <t>09-Nov-2025</t>
  </si>
  <si>
    <t>CR-071</t>
  </si>
  <si>
    <t>Supplier_56</t>
  </si>
  <si>
    <t>10-Nov-2025</t>
  </si>
  <si>
    <t>CR-072</t>
  </si>
  <si>
    <t>Supplier_57</t>
  </si>
  <si>
    <t>11-Nov-2025</t>
  </si>
  <si>
    <t>CR-073</t>
  </si>
  <si>
    <t>Supplier_58</t>
  </si>
  <si>
    <t>12-Nov-2025</t>
  </si>
  <si>
    <t>CR-074</t>
  </si>
  <si>
    <t>Supplier_59</t>
  </si>
  <si>
    <t>13-Nov-2025</t>
  </si>
  <si>
    <t>CR-075</t>
  </si>
  <si>
    <t>Supplier_60</t>
  </si>
  <si>
    <t>14-Nov-2025</t>
  </si>
  <si>
    <t>22-Jan-2026</t>
  </si>
  <si>
    <t>CR-076</t>
  </si>
  <si>
    <t>Supplier_61</t>
  </si>
  <si>
    <t>15-Nov-2025</t>
  </si>
  <si>
    <t>05-Feb-2026</t>
  </si>
  <si>
    <t>CR-077</t>
  </si>
  <si>
    <t>Supplier_62</t>
  </si>
  <si>
    <t>16-Nov-2025</t>
  </si>
  <si>
    <t>CR-078</t>
  </si>
  <si>
    <t>Supplier_63</t>
  </si>
  <si>
    <t>17-Nov-2025</t>
  </si>
  <si>
    <t>CR-079</t>
  </si>
  <si>
    <t>Supplier_64</t>
  </si>
  <si>
    <t>18-Nov-2025</t>
  </si>
  <si>
    <t>CR-080</t>
  </si>
  <si>
    <t>Supplier_65</t>
  </si>
  <si>
    <t>19-Nov-2025</t>
  </si>
  <si>
    <t>17-Jan-2026</t>
  </si>
  <si>
    <t>CR-081</t>
  </si>
  <si>
    <t>Supplier_66</t>
  </si>
  <si>
    <t>20-Nov-2025</t>
  </si>
  <si>
    <t>CR-082</t>
  </si>
  <si>
    <t>Supplier_67</t>
  </si>
  <si>
    <t>21-Nov-2025</t>
  </si>
  <si>
    <t>CR-083</t>
  </si>
  <si>
    <t>Supplier_68</t>
  </si>
  <si>
    <t>22-Nov-2025</t>
  </si>
  <si>
    <t>CR-084</t>
  </si>
  <si>
    <t>Supplier_69</t>
  </si>
  <si>
    <t>23-Nov-2025</t>
  </si>
  <si>
    <t>CR-085</t>
  </si>
  <si>
    <t>Supplier_70</t>
  </si>
  <si>
    <t>24-Nov-2025</t>
  </si>
  <si>
    <t>CR-086</t>
  </si>
  <si>
    <t>Supplier_71</t>
  </si>
  <si>
    <t>25-Nov-2025</t>
  </si>
  <si>
    <t>CR-087</t>
  </si>
  <si>
    <t>Supplier_72</t>
  </si>
  <si>
    <t>26-Nov-2025</t>
  </si>
  <si>
    <t>CR-088</t>
  </si>
  <si>
    <t>Supplier_73</t>
  </si>
  <si>
    <t>27-Nov-2025</t>
  </si>
  <si>
    <t>11-Feb-2026</t>
  </si>
  <si>
    <t>CR-089</t>
  </si>
  <si>
    <t>Supplier_74</t>
  </si>
  <si>
    <t>28-Nov-2025</t>
  </si>
  <si>
    <t>CR-090</t>
  </si>
  <si>
    <t>Supplier_75</t>
  </si>
  <si>
    <t>CR-091</t>
  </si>
  <si>
    <t>State Govt GST Department</t>
  </si>
  <si>
    <t>Statutory Dues</t>
  </si>
  <si>
    <t>GST Arrears</t>
  </si>
  <si>
    <t>Attached</t>
  </si>
  <si>
    <t>CR-092</t>
  </si>
  <si>
    <t>Income Tax Department - Assessment Wing</t>
  </si>
  <si>
    <t>IT Assessment AY 2020-21</t>
  </si>
  <si>
    <t>15-Jan-2026</t>
  </si>
  <si>
    <t>Provisional Attachment</t>
  </si>
  <si>
    <t>CR-094</t>
  </si>
  <si>
    <t>SEBI Penalty Division</t>
  </si>
  <si>
    <t>SEBI Penalty Order</t>
  </si>
  <si>
    <t>CR-100</t>
  </si>
  <si>
    <t>Income Tax Department - TDS Division</t>
  </si>
  <si>
    <t>TDS Default FY 2019-20</t>
  </si>
  <si>
    <t>20-Jan-2026</t>
  </si>
  <si>
    <t>CR-101</t>
  </si>
  <si>
    <t>Income Tax Department - Penalty Wing</t>
  </si>
  <si>
    <t>IT Penalty u/s 271(1)(c)</t>
  </si>
  <si>
    <t>02-Dec-2025</t>
  </si>
  <si>
    <t>Disputed</t>
  </si>
  <si>
    <t>CR-102</t>
  </si>
  <si>
    <t>Income Tax Department - Recovery Unit</t>
  </si>
  <si>
    <t>IT Recovery AY 2021-22</t>
  </si>
  <si>
    <t>Notice Issued</t>
  </si>
  <si>
    <t>CR-103</t>
  </si>
  <si>
    <t>IT Assessment AY 2022-23</t>
  </si>
  <si>
    <t>CR-104</t>
  </si>
  <si>
    <t>Income Tax Department - International Tax</t>
  </si>
  <si>
    <t>Transfer Pricing Adjustment</t>
  </si>
  <si>
    <t>Under Appeal</t>
  </si>
  <si>
    <t>CR-105</t>
  </si>
  <si>
    <t>TDS Short Deduction FY 2020-21</t>
  </si>
  <si>
    <t>09-Jan-2026</t>
  </si>
  <si>
    <t>CR-106</t>
  </si>
  <si>
    <t>Income Tax Department - Reassessment Cell</t>
  </si>
  <si>
    <t>Reassessment u/s 148 AY 2019-20</t>
  </si>
  <si>
    <t>28-Dec-2025</t>
  </si>
  <si>
    <t>CR-107</t>
  </si>
  <si>
    <t>Concealment Penalty AY 2021-22</t>
  </si>
  <si>
    <t>25-Feb-2026</t>
  </si>
  <si>
    <t>CR-108</t>
  </si>
  <si>
    <t>Income Tax Department - Demand &amp; Collection</t>
  </si>
  <si>
    <t>Outstanding IT Demand AY 2023-24</t>
  </si>
  <si>
    <t>CR-109</t>
  </si>
  <si>
    <t>Income Tax Department - Prosecution Wing</t>
  </si>
  <si>
    <t>Prosecution Proceedings u/s 276C</t>
  </si>
  <si>
    <t>05-Mar-2026</t>
  </si>
  <si>
    <t>03-Dec-2025</t>
  </si>
  <si>
    <t>Criminal Proceedings</t>
  </si>
  <si>
    <t>CR-110</t>
  </si>
  <si>
    <t>Income Tax Department - Faceless Assessment</t>
  </si>
  <si>
    <t>Faceless Assessment Order AY 2024-25</t>
  </si>
  <si>
    <t>10-Mar-2026</t>
  </si>
  <si>
    <t>CR-111</t>
  </si>
  <si>
    <t>Income Tax Department - CPC Bangalore</t>
  </si>
  <si>
    <t>Intimation u/s 143(1) Mismatch</t>
  </si>
  <si>
    <t>12-Mar-2026</t>
  </si>
  <si>
    <t>Rectification Filed</t>
  </si>
  <si>
    <t>CR-112</t>
  </si>
  <si>
    <t>CGST Department - Anti Evasion</t>
  </si>
  <si>
    <t>GST Evasion Penalty</t>
  </si>
  <si>
    <t>15-Mar-2026</t>
  </si>
  <si>
    <t>10-Dec-2025</t>
  </si>
  <si>
    <t>Show Cause Issued</t>
  </si>
  <si>
    <t>CR-113</t>
  </si>
  <si>
    <t>Customs Department</t>
  </si>
  <si>
    <t>Customs Duty Differential</t>
  </si>
  <si>
    <t>18-Mar-2026</t>
  </si>
  <si>
    <t>14-Dec-2025</t>
  </si>
  <si>
    <t>CR-114</t>
  </si>
  <si>
    <t>EPF Commissioner</t>
  </si>
  <si>
    <t>PF Default</t>
  </si>
  <si>
    <t>20-Mar-2026</t>
  </si>
  <si>
    <t>CR-115</t>
  </si>
  <si>
    <t>ESI Corporation</t>
  </si>
  <si>
    <t>ESI Arrears</t>
  </si>
  <si>
    <t>22-Mar-2026</t>
  </si>
  <si>
    <t>CR-120</t>
  </si>
  <si>
    <t>General Workers Union</t>
  </si>
  <si>
    <t>Workmen Dues</t>
  </si>
  <si>
    <t>Wages &amp; Benefits</t>
  </si>
  <si>
    <t>CR-121</t>
  </si>
  <si>
    <t>Technical Staff Association</t>
  </si>
  <si>
    <t>CR-122</t>
  </si>
  <si>
    <t>Contract Labour Federation</t>
  </si>
  <si>
    <t>15-Dec-2025</t>
  </si>
  <si>
    <t>CR-123</t>
  </si>
  <si>
    <t>Plant Workers Collective</t>
  </si>
  <si>
    <t>CR-124</t>
  </si>
  <si>
    <t>Maintenance Staff Union</t>
  </si>
  <si>
    <t>CR-125</t>
  </si>
  <si>
    <t>Transport Workers Guild</t>
  </si>
  <si>
    <t>06-Dec-2025</t>
  </si>
  <si>
    <t>CR-126</t>
  </si>
  <si>
    <t>Security Personnel Association</t>
  </si>
  <si>
    <t>07-Dec-2025</t>
  </si>
  <si>
    <t>CR-127</t>
  </si>
  <si>
    <t>Clerical Staff Union</t>
  </si>
  <si>
    <t>CR-128</t>
  </si>
  <si>
    <t>Supervisory Staff Forum</t>
  </si>
  <si>
    <t>09-Dec-2025</t>
  </si>
  <si>
    <t>CR-129</t>
  </si>
  <si>
    <t>Apprentice Welfare Committee</t>
  </si>
  <si>
    <t>CR-130</t>
  </si>
  <si>
    <t>Daily Wage Workers Union</t>
  </si>
  <si>
    <t>08-Jan-2026</t>
  </si>
  <si>
    <t>CR-131</t>
  </si>
  <si>
    <t>Skilled Labour Consortium</t>
  </si>
  <si>
    <t>12-Dec-2025</t>
  </si>
  <si>
    <t>CR-132</t>
  </si>
  <si>
    <t>Women Workers Collective</t>
  </si>
  <si>
    <t>13-Dec-2025</t>
  </si>
  <si>
    <t>CR-133</t>
  </si>
  <si>
    <t>Senior Staff Association</t>
  </si>
  <si>
    <t>CR-134</t>
  </si>
  <si>
    <t>Junior Staff Forum</t>
  </si>
  <si>
    <t>GRAND TOTAL</t>
  </si>
  <si>
    <t>Category</t>
  </si>
  <si>
    <t>Total_Claims</t>
  </si>
  <si>
    <t>Total_Amount_INR</t>
  </si>
  <si>
    <t>Avg_Claim_Amount</t>
  </si>
  <si>
    <t>%_of_Total</t>
  </si>
  <si>
    <t>Under_Review</t>
  </si>
  <si>
    <t>Other</t>
  </si>
  <si>
    <t>TOTAL</t>
  </si>
  <si>
    <t>Department_Unit</t>
  </si>
  <si>
    <t>Nature_of_Claim</t>
  </si>
  <si>
    <t>Assessment_Year</t>
  </si>
  <si>
    <t>Section_Reference</t>
  </si>
  <si>
    <t>Amount_Paid_INR</t>
  </si>
  <si>
    <t>Outstanding_INR</t>
  </si>
  <si>
    <t>Interest_u/s_234A</t>
  </si>
  <si>
    <t>Interest_u/s_234B</t>
  </si>
  <si>
    <t>Interest_u/s_234C</t>
  </si>
  <si>
    <t>Total_Interest_INR</t>
  </si>
  <si>
    <t>Penalty_Amount_INR</t>
  </si>
  <si>
    <t>Grand_Total_INR</t>
  </si>
  <si>
    <t>Date_of_Order</t>
  </si>
  <si>
    <t>Date_of_Demand</t>
  </si>
  <si>
    <t>Appeal_Status</t>
  </si>
  <si>
    <t>Tribunal_Status</t>
  </si>
  <si>
    <t>High_Court_Status</t>
  </si>
  <si>
    <t>Current_Stage</t>
  </si>
  <si>
    <t>Priority_Level</t>
  </si>
  <si>
    <t>Officer_Name</t>
  </si>
  <si>
    <t>Officer_Designation</t>
  </si>
  <si>
    <t>Contact</t>
  </si>
  <si>
    <t>IT-001</t>
  </si>
  <si>
    <t>Assessment Wing</t>
  </si>
  <si>
    <t>2020-21</t>
  </si>
  <si>
    <t>143(3)</t>
  </si>
  <si>
    <t>CIT Appeals Pending</t>
  </si>
  <si>
    <t>N/A</t>
  </si>
  <si>
    <t>Low</t>
  </si>
  <si>
    <t>Shri V. Kumar</t>
  </si>
  <si>
    <t>ITO</t>
  </si>
  <si>
    <t>011-2348xxxx</t>
  </si>
  <si>
    <t>IT-002</t>
  </si>
  <si>
    <t>TDS Division</t>
  </si>
  <si>
    <t>2019-20</t>
  </si>
  <si>
    <t>201(1)</t>
  </si>
  <si>
    <t>Not Filed</t>
  </si>
  <si>
    <t>High</t>
  </si>
  <si>
    <t>Shri A.K. Singh</t>
  </si>
  <si>
    <t>ACIT</t>
  </si>
  <si>
    <t>011-2347xxxx</t>
  </si>
  <si>
    <t>IT-003</t>
  </si>
  <si>
    <t>Penalty Wing</t>
  </si>
  <si>
    <t>Concealment Penalty u/s 271(1)(c)</t>
  </si>
  <si>
    <t>271(1)(c)</t>
  </si>
  <si>
    <t>CIT(A) Filed</t>
  </si>
  <si>
    <t>Smt. P. Devi</t>
  </si>
  <si>
    <t>DCIT</t>
  </si>
  <si>
    <t>011-2346xxxx</t>
  </si>
  <si>
    <t>IT-004</t>
  </si>
  <si>
    <t>Recovery Unit</t>
  </si>
  <si>
    <t>2021-22</t>
  </si>
  <si>
    <t>220(1)</t>
  </si>
  <si>
    <t>Stay Applied</t>
  </si>
  <si>
    <t>Critical</t>
  </si>
  <si>
    <t>IT-005</t>
  </si>
  <si>
    <t>2022-23</t>
  </si>
  <si>
    <t>Appeal Pending</t>
  </si>
  <si>
    <t>Smt. S. Rani</t>
  </si>
  <si>
    <t>JCIT</t>
  </si>
  <si>
    <t>011-2349xxxx</t>
  </si>
  <si>
    <t>IT-006</t>
  </si>
  <si>
    <t>International Tax Division</t>
  </si>
  <si>
    <t>92CA</t>
  </si>
  <si>
    <t>ITAT Filed</t>
  </si>
  <si>
    <t>IT-007</t>
  </si>
  <si>
    <t>201(1A)</t>
  </si>
  <si>
    <t>IT-008</t>
  </si>
  <si>
    <t>Reassessment Cell</t>
  </si>
  <si>
    <t>148/147</t>
  </si>
  <si>
    <t>Challenge Filed</t>
  </si>
  <si>
    <t>IT-009</t>
  </si>
  <si>
    <t>CIT(A) Pending</t>
  </si>
  <si>
    <t>IT-010</t>
  </si>
  <si>
    <t>Demand &amp; Collection</t>
  </si>
  <si>
    <t>2023-24</t>
  </si>
  <si>
    <t>156</t>
  </si>
  <si>
    <t>IT-011</t>
  </si>
  <si>
    <t>Prosecution Wing</t>
  </si>
  <si>
    <t>Prosecution u/s 276C</t>
  </si>
  <si>
    <t>276C</t>
  </si>
  <si>
    <t>Sessions Court</t>
  </si>
  <si>
    <t>Medium</t>
  </si>
  <si>
    <t>IT-012</t>
  </si>
  <si>
    <t>Faceless Assessment Unit</t>
  </si>
  <si>
    <t>Faceless Assessment AY 2024-25</t>
  </si>
  <si>
    <t>2024-25</t>
  </si>
  <si>
    <t>144B</t>
  </si>
  <si>
    <t>DRP Filed</t>
  </si>
  <si>
    <t>IT-013</t>
  </si>
  <si>
    <t>CPC Bangalore</t>
  </si>
  <si>
    <t>Intimation u/s 143(1)</t>
  </si>
  <si>
    <t>143(1)</t>
  </si>
  <si>
    <t>IT-014</t>
  </si>
  <si>
    <t>Best Judgment Assessment AY 2018-19</t>
  </si>
  <si>
    <t>2018-19</t>
  </si>
  <si>
    <t>144</t>
  </si>
  <si>
    <t>Ex-Parte Order</t>
  </si>
  <si>
    <t>Appeal Filed</t>
  </si>
  <si>
    <t>Shri R.K. Mishra</t>
  </si>
  <si>
    <t>Addl. CIT</t>
  </si>
  <si>
    <t>011-2345xxxx</t>
  </si>
  <si>
    <t>IT-015</t>
  </si>
  <si>
    <t>Late Filing Fee u/s 234E</t>
  </si>
  <si>
    <t>234E</t>
  </si>
  <si>
    <t>IT-016</t>
  </si>
  <si>
    <t>Penalty for Non-Filing u/s 271F</t>
  </si>
  <si>
    <t>271F</t>
  </si>
  <si>
    <t>IT-017</t>
  </si>
  <si>
    <t>Search &amp; Seizure Wing</t>
  </si>
  <si>
    <t>Block Assessment u/s 153A</t>
  </si>
  <si>
    <t>153A</t>
  </si>
  <si>
    <t>ITAT Pending</t>
  </si>
  <si>
    <t>IT-018</t>
  </si>
  <si>
    <t>APA Non-Compliance</t>
  </si>
  <si>
    <t>92CD</t>
  </si>
  <si>
    <t>25-Mar-2026</t>
  </si>
  <si>
    <t>MAP Invoked</t>
  </si>
  <si>
    <t>TOTALS</t>
  </si>
  <si>
    <t>IBC_Section</t>
  </si>
  <si>
    <t>Description</t>
  </si>
  <si>
    <t>%_of_Total_Claims</t>
  </si>
  <si>
    <t>Cumulative_%</t>
  </si>
  <si>
    <t>Recovery_Estimate_%</t>
  </si>
  <si>
    <t>Estimated_Recovery_INR</t>
  </si>
  <si>
    <t>Shortfall_INR</t>
  </si>
  <si>
    <t>CIRP Costs</t>
  </si>
  <si>
    <t>Section 53(1)(a)</t>
  </si>
  <si>
    <t>IRP/RP fees, legal costs, valuation</t>
  </si>
  <si>
    <t>Workmen Dues (24 months)</t>
  </si>
  <si>
    <t>Section 53(1)(b)(i)</t>
  </si>
  <si>
    <t>Wages for 24 months preceding liquidation</t>
  </si>
  <si>
    <t>Financial Creditors</t>
  </si>
  <si>
    <t>Section 53(1)(b)(ii)</t>
  </si>
  <si>
    <t>All admitted financial claims</t>
  </si>
  <si>
    <t>Workmen Dues (&gt;24 months)</t>
  </si>
  <si>
    <t>Section 53(1)(c)</t>
  </si>
  <si>
    <t>Remaining workmen dues</t>
  </si>
  <si>
    <t>Operational Creditors</t>
  </si>
  <si>
    <t>Section 53(1)(d)</t>
  </si>
  <si>
    <t>All operational creditor claims</t>
  </si>
  <si>
    <t>Statutory Dues - Govt</t>
  </si>
  <si>
    <t>Section 53(1)(e)</t>
  </si>
  <si>
    <t>Central/State Govt statutory dues</t>
  </si>
  <si>
    <t>Other Creditors</t>
  </si>
  <si>
    <t>Section 53(1)(f)</t>
  </si>
  <si>
    <t>Any remaining claims</t>
  </si>
  <si>
    <t>Preference Shareholders</t>
  </si>
  <si>
    <t>Section 53(1)(g)</t>
  </si>
  <si>
    <t>Preference share capital</t>
  </si>
  <si>
    <t>Equity Shareholders</t>
  </si>
  <si>
    <t>Section 53(1)(h)</t>
  </si>
  <si>
    <t>Equity share capital</t>
  </si>
  <si>
    <t>Milestone</t>
  </si>
  <si>
    <t>Statutory_Deadline</t>
  </si>
  <si>
    <t>Actual_Date</t>
  </si>
  <si>
    <t>Days_Elapsed</t>
  </si>
  <si>
    <t>Days_Remaining</t>
  </si>
  <si>
    <t>Responsible_Person</t>
  </si>
  <si>
    <t>Documents</t>
  </si>
  <si>
    <t>CIRP Commencement Order</t>
  </si>
  <si>
    <t>Section 7/9/10</t>
  </si>
  <si>
    <t>Completed</t>
  </si>
  <si>
    <t>NCLT Bench</t>
  </si>
  <si>
    <t>Public Announcement</t>
  </si>
  <si>
    <t>Section 15</t>
  </si>
  <si>
    <t>IRP R. Sharma</t>
  </si>
  <si>
    <t>Claims Submission Deadline</t>
  </si>
  <si>
    <t>Section 15(1)(c)</t>
  </si>
  <si>
    <t>Verification of Claims</t>
  </si>
  <si>
    <t>Section 18(1)(b)</t>
  </si>
  <si>
    <t>30-Nov-2025</t>
  </si>
  <si>
    <t>CoC Formation</t>
  </si>
  <si>
    <t>Section 21</t>
  </si>
  <si>
    <t>First CoC Meeting</t>
  </si>
  <si>
    <t>Reg 17</t>
  </si>
  <si>
    <t>RP A. Verma</t>
  </si>
  <si>
    <t>Information Memorandum</t>
  </si>
  <si>
    <t>Section 29(2)</t>
  </si>
  <si>
    <t>Expression of Interest Deadline</t>
  </si>
  <si>
    <t>Reg 36A</t>
  </si>
  <si>
    <t>In Progress</t>
  </si>
  <si>
    <t>Provisional List of RAs</t>
  </si>
  <si>
    <t>Reg 36A(4)</t>
  </si>
  <si>
    <t>Resolution Plan Submission</t>
  </si>
  <si>
    <t>Section 30(1)</t>
  </si>
  <si>
    <t>Resolution Applicants</t>
  </si>
  <si>
    <t>CoC Voting on Plan</t>
  </si>
  <si>
    <t>Section 30(4)</t>
  </si>
  <si>
    <t>30-Mar-2026</t>
  </si>
  <si>
    <t>CoC Members</t>
  </si>
  <si>
    <t>NCLT Approval</t>
  </si>
  <si>
    <t>Section 31(1)</t>
  </si>
  <si>
    <t>15-Apr-2026</t>
  </si>
  <si>
    <t>NCLT</t>
  </si>
  <si>
    <t>IT Dept Claims Hearing</t>
  </si>
  <si>
    <t>NCLT Order</t>
  </si>
  <si>
    <t>IT Department</t>
  </si>
  <si>
    <t>IT Dept Assessment Review</t>
  </si>
  <si>
    <t>Section 53</t>
  </si>
  <si>
    <t>IT Dept/RP</t>
  </si>
  <si>
    <t>180-Day CIRP Deadline</t>
  </si>
  <si>
    <t>Section 12(1)</t>
  </si>
  <si>
    <t>NCLT/RP</t>
  </si>
  <si>
    <t>Extension Application (if needed)</t>
  </si>
  <si>
    <t>Section 12(2)</t>
  </si>
  <si>
    <t>Contingency</t>
  </si>
  <si>
    <t>270-Day Final Deadline</t>
  </si>
  <si>
    <t>Section 12(3)</t>
  </si>
  <si>
    <t>28-Jun-2026</t>
  </si>
  <si>
    <t>Date</t>
  </si>
  <si>
    <t>Time</t>
  </si>
  <si>
    <t>Action</t>
  </si>
  <si>
    <t>Modified_By</t>
  </si>
  <si>
    <t>Old_Value</t>
  </si>
  <si>
    <t>New_Value</t>
  </si>
  <si>
    <t>Reason</t>
  </si>
  <si>
    <t>Approved_By</t>
  </si>
  <si>
    <t>09:00</t>
  </si>
  <si>
    <t>CIRP Initiated</t>
  </si>
  <si>
    <t>ALL</t>
  </si>
  <si>
    <t>System</t>
  </si>
  <si>
    <t>Active</t>
  </si>
  <si>
    <t>10:30</t>
  </si>
  <si>
    <t>Public Announcement Published</t>
  </si>
  <si>
    <t>Draft</t>
  </si>
  <si>
    <t>Published</t>
  </si>
  <si>
    <t>Statutory Requirement</t>
  </si>
  <si>
    <t>CoC</t>
  </si>
  <si>
    <t>17:00</t>
  </si>
  <si>
    <t>Claims Window Closed</t>
  </si>
  <si>
    <t>Open</t>
  </si>
  <si>
    <t>Closed</t>
  </si>
  <si>
    <t>Deadline</t>
  </si>
  <si>
    <t>14:15</t>
  </si>
  <si>
    <t>Claim Amount Updated</t>
  </si>
  <si>
    <t>48,00,00,000</t>
  </si>
  <si>
    <t>50,00,00,000</t>
  </si>
  <si>
    <t>Revised Statement</t>
  </si>
  <si>
    <t>CoC Chair</t>
  </si>
  <si>
    <t>11:00</t>
  </si>
  <si>
    <t>Claims Verified</t>
  </si>
  <si>
    <t>CR-001 to CR-010</t>
  </si>
  <si>
    <t>Unverified</t>
  </si>
  <si>
    <t>Verified</t>
  </si>
  <si>
    <t>Section 18 Compliance</t>
  </si>
  <si>
    <t>16:00</t>
  </si>
  <si>
    <t>CoC Formed</t>
  </si>
  <si>
    <t>Constituted</t>
  </si>
  <si>
    <t>10:00</t>
  </si>
  <si>
    <t>IT Dept Claim Received</t>
  </si>
  <si>
    <t>₹25 Cr</t>
  </si>
  <si>
    <t>IT Assessment Order</t>
  </si>
  <si>
    <t>11:30</t>
  </si>
  <si>
    <t>IT Dept TDS Claim Added</t>
  </si>
  <si>
    <t>₹3.5 Cr</t>
  </si>
  <si>
    <t>TDS Default Notice</t>
  </si>
  <si>
    <t>14:00</t>
  </si>
  <si>
    <t>IT Dept Penalty Claim Added</t>
  </si>
  <si>
    <t>₹1.8 Cr</t>
  </si>
  <si>
    <t>Penalty Order</t>
  </si>
  <si>
    <t>09:45</t>
  </si>
  <si>
    <t>IT Dept Recovery Notice</t>
  </si>
  <si>
    <t>IT Dept</t>
  </si>
  <si>
    <t>₹4.2 Cr</t>
  </si>
  <si>
    <t>Recovery u/s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</si>
</sst>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FF0000"/>
      <name val="Arial"/>
      <charset val="1"/>
    </font>
    <font>
      <b/>
      <sz val="11"/>
      <name val="Arial"/>
      <charset val="1"/>
    </font>
    <font>
      <b/>
      <sz val="11"/>
      <color rgb="FFFF0000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FFF2CC"/>
        <bgColor rgb="FFFFEB9C"/>
      </patternFill>
    </fill>
    <fill>
      <patternFill patternType="solid">
        <fgColor rgb="FF8B0000"/>
        <bgColor rgb="FF800000"/>
      </patternFill>
    </fill>
    <fill>
      <patternFill patternType="solid">
        <fgColor rgb="FF2E4057"/>
        <bgColor rgb="FF333333"/>
      </patternFill>
    </fill>
    <fill>
      <patternFill patternType="solid">
        <fgColor rgb="FF4A0E4E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rgb="FF333333"/>
        <bgColor rgb="FF2E40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3" fontId="3" fillId="0" borderId="1" xfId="0" applyNumberFormat="1" applyFont="1" applyBorder="1"/>
    <xf numFmtId="3" fontId="2" fillId="0" borderId="1" xfId="0" applyNumberFormat="1" applyFont="1" applyBorder="1"/>
    <xf numFmtId="3" fontId="4" fillId="0" borderId="1" xfId="0" applyNumberFormat="1" applyFont="1" applyBorder="1"/>
    <xf numFmtId="0" fontId="0" fillId="3" borderId="1" xfId="0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3" fontId="6" fillId="3" borderId="1" xfId="0" applyNumberFormat="1" applyFont="1" applyFill="1" applyBorder="1"/>
    <xf numFmtId="0" fontId="7" fillId="0" borderId="1" xfId="0" applyFont="1" applyBorder="1"/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5" fillId="0" borderId="0" xfId="0" applyFont="1"/>
    <xf numFmtId="10" fontId="5" fillId="3" borderId="1" xfId="0" applyNumberFormat="1" applyFont="1" applyFill="1" applyBorder="1"/>
    <xf numFmtId="0" fontId="1" fillId="4" borderId="1" xfId="0" applyFont="1" applyFill="1" applyBorder="1" applyAlignment="1">
      <alignment horizontal="center" wrapText="1"/>
    </xf>
    <xf numFmtId="3" fontId="8" fillId="0" borderId="1" xfId="0" applyNumberFormat="1" applyFont="1" applyBorder="1"/>
    <xf numFmtId="3" fontId="7" fillId="0" borderId="1" xfId="0" applyNumberFormat="1" applyFont="1" applyBorder="1"/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1" fillId="10" borderId="1" xfId="0" applyFont="1" applyFill="1" applyBorder="1" applyAlignment="1">
      <alignment horizontal="center" wrapText="1"/>
    </xf>
    <xf numFmtId="1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4A0E4E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zoomScaleNormal="100" workbookViewId="0">
      <pane ySplit="1" topLeftCell="A89" activePane="bottomLeft" state="frozen"/>
      <selection pane="bottomLeft" activeCell="I93" sqref="I93"/>
    </sheetView>
  </sheetViews>
  <sheetFormatPr defaultColWidth="8.6640625" defaultRowHeight="14.4" x14ac:dyDescent="0.3"/>
  <cols>
    <col min="1" max="1" width="6" customWidth="1"/>
    <col min="2" max="2" width="10" customWidth="1"/>
    <col min="3" max="3" width="35" customWidth="1"/>
    <col min="4" max="4" width="18" customWidth="1"/>
    <col min="5" max="5" width="25" customWidth="1"/>
    <col min="6" max="8" width="18" customWidth="1"/>
    <col min="9" max="9" width="19.5546875" customWidth="1"/>
    <col min="10" max="10" width="14" customWidth="1"/>
    <col min="11" max="11" width="20" customWidth="1"/>
    <col min="12" max="12" width="10" customWidth="1"/>
    <col min="13" max="13" width="20" customWidth="1"/>
    <col min="14" max="14" width="16" customWidth="1"/>
    <col min="15" max="15" width="20" customWidth="1"/>
    <col min="16" max="16" width="14" customWidth="1"/>
  </cols>
  <sheetData>
    <row r="1" spans="1:16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500000000</v>
      </c>
      <c r="G2" s="4">
        <v>492016900</v>
      </c>
      <c r="H2" s="5">
        <v>7983100</v>
      </c>
      <c r="I2" s="2" t="s">
        <v>20</v>
      </c>
      <c r="J2" s="2" t="s">
        <v>21</v>
      </c>
      <c r="K2" s="2" t="s">
        <v>22</v>
      </c>
      <c r="L2" s="2">
        <v>1</v>
      </c>
      <c r="M2" s="2" t="s">
        <v>23</v>
      </c>
      <c r="N2" s="2" t="s">
        <v>24</v>
      </c>
      <c r="O2" s="2"/>
      <c r="P2" s="2" t="s">
        <v>25</v>
      </c>
    </row>
    <row r="3" spans="1:16" x14ac:dyDescent="0.3">
      <c r="A3" s="2">
        <v>2</v>
      </c>
      <c r="B3" s="2" t="s">
        <v>26</v>
      </c>
      <c r="C3" s="2" t="s">
        <v>27</v>
      </c>
      <c r="D3" s="2" t="s">
        <v>18</v>
      </c>
      <c r="E3" s="2" t="s">
        <v>28</v>
      </c>
      <c r="F3" s="3">
        <v>300000000</v>
      </c>
      <c r="G3" s="4">
        <v>223149209</v>
      </c>
      <c r="H3" s="5">
        <v>76850791</v>
      </c>
      <c r="I3" s="2" t="s">
        <v>29</v>
      </c>
      <c r="J3" s="2" t="s">
        <v>30</v>
      </c>
      <c r="K3" s="2" t="s">
        <v>22</v>
      </c>
      <c r="L3" s="2">
        <v>2</v>
      </c>
      <c r="M3" s="2" t="s">
        <v>31</v>
      </c>
      <c r="N3" s="2" t="s">
        <v>32</v>
      </c>
      <c r="O3" s="2"/>
      <c r="P3" s="2" t="s">
        <v>25</v>
      </c>
    </row>
    <row r="4" spans="1:16" x14ac:dyDescent="0.3">
      <c r="A4" s="2">
        <v>3</v>
      </c>
      <c r="B4" s="2" t="s">
        <v>33</v>
      </c>
      <c r="C4" s="2" t="s">
        <v>34</v>
      </c>
      <c r="D4" s="2" t="s">
        <v>18</v>
      </c>
      <c r="E4" s="2" t="s">
        <v>19</v>
      </c>
      <c r="F4" s="3">
        <v>250000000</v>
      </c>
      <c r="G4" s="4">
        <v>245299481</v>
      </c>
      <c r="H4" s="5">
        <v>4700519</v>
      </c>
      <c r="I4" s="2" t="s">
        <v>35</v>
      </c>
      <c r="J4" s="2" t="s">
        <v>36</v>
      </c>
      <c r="K4" s="2" t="s">
        <v>22</v>
      </c>
      <c r="L4" s="2">
        <v>3</v>
      </c>
      <c r="M4" s="2" t="s">
        <v>37</v>
      </c>
      <c r="N4" s="2" t="s">
        <v>38</v>
      </c>
      <c r="O4" s="2"/>
      <c r="P4" s="2" t="s">
        <v>25</v>
      </c>
    </row>
    <row r="5" spans="1:16" x14ac:dyDescent="0.3">
      <c r="A5" s="2">
        <v>4</v>
      </c>
      <c r="B5" s="2" t="s">
        <v>39</v>
      </c>
      <c r="C5" s="2" t="s">
        <v>40</v>
      </c>
      <c r="D5" s="2" t="s">
        <v>18</v>
      </c>
      <c r="E5" s="2" t="s">
        <v>41</v>
      </c>
      <c r="F5" s="3">
        <v>150000000</v>
      </c>
      <c r="G5" s="4">
        <v>129361263</v>
      </c>
      <c r="H5" s="5">
        <v>20638737</v>
      </c>
      <c r="I5" s="2" t="s">
        <v>42</v>
      </c>
      <c r="J5" s="2" t="s">
        <v>43</v>
      </c>
      <c r="K5" s="2" t="s">
        <v>22</v>
      </c>
      <c r="L5" s="2">
        <v>4</v>
      </c>
      <c r="M5" s="2" t="s">
        <v>31</v>
      </c>
      <c r="N5" s="2" t="s">
        <v>44</v>
      </c>
      <c r="O5" s="2"/>
      <c r="P5" s="2" t="s">
        <v>25</v>
      </c>
    </row>
    <row r="6" spans="1:16" x14ac:dyDescent="0.3">
      <c r="A6" s="2">
        <v>5</v>
      </c>
      <c r="B6" s="2" t="s">
        <v>45</v>
      </c>
      <c r="C6" s="2" t="s">
        <v>46</v>
      </c>
      <c r="D6" s="2" t="s">
        <v>18</v>
      </c>
      <c r="E6" s="2" t="s">
        <v>47</v>
      </c>
      <c r="F6" s="3">
        <v>100000000</v>
      </c>
      <c r="G6" s="4">
        <v>95873539</v>
      </c>
      <c r="H6" s="5">
        <v>4126461</v>
      </c>
      <c r="I6" s="2" t="s">
        <v>48</v>
      </c>
      <c r="J6" s="2" t="s">
        <v>49</v>
      </c>
      <c r="K6" s="2" t="s">
        <v>22</v>
      </c>
      <c r="L6" s="2">
        <v>5</v>
      </c>
      <c r="M6" s="2" t="s">
        <v>50</v>
      </c>
      <c r="N6" s="2" t="s">
        <v>51</v>
      </c>
      <c r="O6" s="2"/>
      <c r="P6" s="2" t="s">
        <v>25</v>
      </c>
    </row>
    <row r="7" spans="1:16" x14ac:dyDescent="0.3">
      <c r="A7" s="2">
        <v>6</v>
      </c>
      <c r="B7" s="2" t="s">
        <v>52</v>
      </c>
      <c r="C7" s="2" t="s">
        <v>53</v>
      </c>
      <c r="D7" s="2" t="s">
        <v>18</v>
      </c>
      <c r="E7" s="2" t="s">
        <v>19</v>
      </c>
      <c r="F7" s="3">
        <v>200000000</v>
      </c>
      <c r="G7" s="4">
        <v>157053122</v>
      </c>
      <c r="H7" s="5">
        <v>42946878</v>
      </c>
      <c r="I7" s="2" t="s">
        <v>54</v>
      </c>
      <c r="J7" s="2" t="s">
        <v>55</v>
      </c>
      <c r="K7" s="2" t="s">
        <v>22</v>
      </c>
      <c r="L7" s="2">
        <v>6</v>
      </c>
      <c r="M7" s="2" t="s">
        <v>56</v>
      </c>
      <c r="N7" s="2" t="s">
        <v>32</v>
      </c>
      <c r="O7" s="2"/>
      <c r="P7" s="2" t="s">
        <v>25</v>
      </c>
    </row>
    <row r="8" spans="1:16" x14ac:dyDescent="0.3">
      <c r="A8" s="2">
        <v>7</v>
      </c>
      <c r="B8" s="2" t="s">
        <v>57</v>
      </c>
      <c r="C8" s="2" t="s">
        <v>58</v>
      </c>
      <c r="D8" s="2" t="s">
        <v>18</v>
      </c>
      <c r="E8" s="2" t="s">
        <v>28</v>
      </c>
      <c r="F8" s="3">
        <v>120000000</v>
      </c>
      <c r="G8" s="4">
        <v>102744855</v>
      </c>
      <c r="H8" s="5">
        <v>17255145</v>
      </c>
      <c r="I8" s="2" t="s">
        <v>59</v>
      </c>
      <c r="J8" s="2" t="s">
        <v>60</v>
      </c>
      <c r="K8" s="2" t="s">
        <v>22</v>
      </c>
      <c r="L8" s="2">
        <v>7</v>
      </c>
      <c r="M8" s="2" t="s">
        <v>23</v>
      </c>
      <c r="N8" s="2" t="s">
        <v>44</v>
      </c>
      <c r="O8" s="2"/>
      <c r="P8" s="2" t="s">
        <v>25</v>
      </c>
    </row>
    <row r="9" spans="1:16" x14ac:dyDescent="0.3">
      <c r="A9" s="2">
        <v>8</v>
      </c>
      <c r="B9" s="2" t="s">
        <v>61</v>
      </c>
      <c r="C9" s="2" t="s">
        <v>62</v>
      </c>
      <c r="D9" s="2" t="s">
        <v>18</v>
      </c>
      <c r="E9" s="2" t="s">
        <v>41</v>
      </c>
      <c r="F9" s="3">
        <v>180000000</v>
      </c>
      <c r="G9" s="4">
        <v>143541502</v>
      </c>
      <c r="H9" s="5">
        <v>36458498</v>
      </c>
      <c r="I9" s="2" t="s">
        <v>63</v>
      </c>
      <c r="J9" s="2" t="s">
        <v>64</v>
      </c>
      <c r="K9" s="2" t="s">
        <v>22</v>
      </c>
      <c r="L9" s="2">
        <v>8</v>
      </c>
      <c r="M9" s="2" t="s">
        <v>50</v>
      </c>
      <c r="N9" s="2" t="s">
        <v>32</v>
      </c>
      <c r="O9" s="2"/>
      <c r="P9" s="2" t="s">
        <v>25</v>
      </c>
    </row>
    <row r="10" spans="1:16" x14ac:dyDescent="0.3">
      <c r="A10" s="2">
        <v>9</v>
      </c>
      <c r="B10" s="2" t="s">
        <v>65</v>
      </c>
      <c r="C10" s="2" t="s">
        <v>66</v>
      </c>
      <c r="D10" s="2" t="s">
        <v>18</v>
      </c>
      <c r="E10" s="2" t="s">
        <v>47</v>
      </c>
      <c r="F10" s="3">
        <v>90000000</v>
      </c>
      <c r="G10" s="4">
        <v>78861269</v>
      </c>
      <c r="H10" s="5">
        <v>11138731</v>
      </c>
      <c r="I10" s="2" t="s">
        <v>67</v>
      </c>
      <c r="J10" s="2" t="s">
        <v>68</v>
      </c>
      <c r="K10" s="2" t="s">
        <v>22</v>
      </c>
      <c r="L10" s="2">
        <v>9</v>
      </c>
      <c r="M10" s="2" t="s">
        <v>69</v>
      </c>
      <c r="N10" s="2" t="s">
        <v>24</v>
      </c>
      <c r="O10" s="2"/>
      <c r="P10" s="2" t="s">
        <v>25</v>
      </c>
    </row>
    <row r="11" spans="1:16" x14ac:dyDescent="0.3">
      <c r="A11" s="2">
        <v>10</v>
      </c>
      <c r="B11" s="2" t="s">
        <v>70</v>
      </c>
      <c r="C11" s="2" t="s">
        <v>71</v>
      </c>
      <c r="D11" s="2" t="s">
        <v>18</v>
      </c>
      <c r="E11" s="2" t="s">
        <v>19</v>
      </c>
      <c r="F11" s="3">
        <v>75000000</v>
      </c>
      <c r="G11" s="4">
        <v>61539816</v>
      </c>
      <c r="H11" s="5">
        <v>13460184</v>
      </c>
      <c r="I11" s="2" t="s">
        <v>72</v>
      </c>
      <c r="J11" s="2" t="s">
        <v>73</v>
      </c>
      <c r="K11" s="2" t="s">
        <v>22</v>
      </c>
      <c r="L11" s="2">
        <v>10</v>
      </c>
      <c r="M11" s="2" t="s">
        <v>69</v>
      </c>
      <c r="N11" s="2" t="s">
        <v>51</v>
      </c>
      <c r="O11" s="2"/>
      <c r="P11" s="2" t="s">
        <v>25</v>
      </c>
    </row>
    <row r="12" spans="1:16" x14ac:dyDescent="0.3">
      <c r="A12" s="2">
        <v>11</v>
      </c>
      <c r="B12" s="2" t="s">
        <v>74</v>
      </c>
      <c r="C12" s="2" t="s">
        <v>75</v>
      </c>
      <c r="D12" s="2" t="s">
        <v>76</v>
      </c>
      <c r="E12" s="2" t="s">
        <v>77</v>
      </c>
      <c r="F12" s="3">
        <v>5000000</v>
      </c>
      <c r="G12" s="4">
        <v>4567289</v>
      </c>
      <c r="H12" s="5">
        <v>432711</v>
      </c>
      <c r="I12" s="2" t="s">
        <v>78</v>
      </c>
      <c r="J12" s="2" t="s">
        <v>79</v>
      </c>
      <c r="K12" s="2" t="s">
        <v>80</v>
      </c>
      <c r="L12" s="2">
        <v>11</v>
      </c>
      <c r="M12" s="2" t="s">
        <v>69</v>
      </c>
      <c r="N12" s="2" t="s">
        <v>81</v>
      </c>
      <c r="O12" s="2"/>
      <c r="P12" s="2" t="s">
        <v>25</v>
      </c>
    </row>
    <row r="13" spans="1:16" x14ac:dyDescent="0.3">
      <c r="A13" s="2">
        <v>12</v>
      </c>
      <c r="B13" s="2" t="s">
        <v>82</v>
      </c>
      <c r="C13" s="2" t="s">
        <v>83</v>
      </c>
      <c r="D13" s="2" t="s">
        <v>76</v>
      </c>
      <c r="E13" s="2" t="s">
        <v>84</v>
      </c>
      <c r="F13" s="3">
        <v>3000000</v>
      </c>
      <c r="G13" s="4">
        <v>2782909</v>
      </c>
      <c r="H13" s="5">
        <v>217091</v>
      </c>
      <c r="I13" s="2" t="s">
        <v>85</v>
      </c>
      <c r="J13" s="2" t="s">
        <v>86</v>
      </c>
      <c r="K13" s="2" t="s">
        <v>80</v>
      </c>
      <c r="L13" s="2">
        <v>12</v>
      </c>
      <c r="M13" s="2" t="s">
        <v>23</v>
      </c>
      <c r="N13" s="2" t="s">
        <v>81</v>
      </c>
      <c r="O13" s="2"/>
      <c r="P13" s="2" t="s">
        <v>25</v>
      </c>
    </row>
    <row r="14" spans="1:16" x14ac:dyDescent="0.3">
      <c r="A14" s="2">
        <v>13</v>
      </c>
      <c r="B14" s="2" t="s">
        <v>87</v>
      </c>
      <c r="C14" s="2" t="s">
        <v>88</v>
      </c>
      <c r="D14" s="2" t="s">
        <v>76</v>
      </c>
      <c r="E14" s="2" t="s">
        <v>89</v>
      </c>
      <c r="F14" s="3">
        <v>1500000</v>
      </c>
      <c r="G14" s="4">
        <v>1209292</v>
      </c>
      <c r="H14" s="5">
        <v>290708</v>
      </c>
      <c r="I14" s="2" t="s">
        <v>90</v>
      </c>
      <c r="J14" s="2" t="s">
        <v>91</v>
      </c>
      <c r="K14" s="2" t="s">
        <v>80</v>
      </c>
      <c r="L14" s="2">
        <v>13</v>
      </c>
      <c r="M14" s="2" t="s">
        <v>92</v>
      </c>
      <c r="N14" s="2" t="s">
        <v>93</v>
      </c>
      <c r="O14" s="2"/>
      <c r="P14" s="2" t="s">
        <v>25</v>
      </c>
    </row>
    <row r="15" spans="1:16" x14ac:dyDescent="0.3">
      <c r="A15" s="2">
        <v>14</v>
      </c>
      <c r="B15" s="2" t="s">
        <v>94</v>
      </c>
      <c r="C15" s="2" t="s">
        <v>95</v>
      </c>
      <c r="D15" s="2" t="s">
        <v>76</v>
      </c>
      <c r="E15" s="2" t="s">
        <v>96</v>
      </c>
      <c r="F15" s="3">
        <v>800000</v>
      </c>
      <c r="G15" s="4">
        <v>570223</v>
      </c>
      <c r="H15" s="5">
        <v>229777</v>
      </c>
      <c r="I15" s="2" t="s">
        <v>97</v>
      </c>
      <c r="J15" s="2" t="s">
        <v>86</v>
      </c>
      <c r="K15" s="2" t="s">
        <v>80</v>
      </c>
      <c r="L15" s="2">
        <v>14</v>
      </c>
      <c r="M15" s="2" t="s">
        <v>69</v>
      </c>
      <c r="N15" s="2" t="s">
        <v>98</v>
      </c>
      <c r="O15" s="2"/>
      <c r="P15" s="2" t="s">
        <v>25</v>
      </c>
    </row>
    <row r="16" spans="1:16" x14ac:dyDescent="0.3">
      <c r="A16" s="2">
        <v>15</v>
      </c>
      <c r="B16" s="2" t="s">
        <v>99</v>
      </c>
      <c r="C16" s="2" t="s">
        <v>100</v>
      </c>
      <c r="D16" s="2" t="s">
        <v>76</v>
      </c>
      <c r="E16" s="2" t="s">
        <v>101</v>
      </c>
      <c r="F16" s="3">
        <v>1200000</v>
      </c>
      <c r="G16" s="4">
        <v>932664</v>
      </c>
      <c r="H16" s="5">
        <v>267336</v>
      </c>
      <c r="I16" s="2" t="s">
        <v>102</v>
      </c>
      <c r="J16" s="2" t="s">
        <v>103</v>
      </c>
      <c r="K16" s="2" t="s">
        <v>80</v>
      </c>
      <c r="L16" s="2">
        <v>15</v>
      </c>
      <c r="M16" s="2" t="s">
        <v>92</v>
      </c>
      <c r="N16" s="2" t="s">
        <v>24</v>
      </c>
      <c r="O16" s="2"/>
      <c r="P16" s="2" t="s">
        <v>25</v>
      </c>
    </row>
    <row r="17" spans="1:16" x14ac:dyDescent="0.3">
      <c r="A17" s="2">
        <v>16</v>
      </c>
      <c r="B17" s="2" t="s">
        <v>104</v>
      </c>
      <c r="C17" s="2" t="s">
        <v>105</v>
      </c>
      <c r="D17" s="2" t="s">
        <v>76</v>
      </c>
      <c r="E17" s="2" t="s">
        <v>106</v>
      </c>
      <c r="F17" s="3">
        <v>700000</v>
      </c>
      <c r="G17" s="4">
        <v>536162</v>
      </c>
      <c r="H17" s="5">
        <v>163838</v>
      </c>
      <c r="I17" s="2" t="s">
        <v>107</v>
      </c>
      <c r="J17" s="2" t="s">
        <v>108</v>
      </c>
      <c r="K17" s="2" t="s">
        <v>109</v>
      </c>
      <c r="L17" s="2">
        <v>16</v>
      </c>
      <c r="M17" s="2" t="s">
        <v>23</v>
      </c>
      <c r="N17" s="2" t="s">
        <v>51</v>
      </c>
      <c r="O17" s="2"/>
      <c r="P17" s="2" t="s">
        <v>25</v>
      </c>
    </row>
    <row r="18" spans="1:16" x14ac:dyDescent="0.3">
      <c r="A18" s="2">
        <v>17</v>
      </c>
      <c r="B18" s="2" t="s">
        <v>110</v>
      </c>
      <c r="C18" s="2" t="s">
        <v>111</v>
      </c>
      <c r="D18" s="2" t="s">
        <v>76</v>
      </c>
      <c r="E18" s="2" t="s">
        <v>112</v>
      </c>
      <c r="F18" s="3">
        <v>1000000</v>
      </c>
      <c r="G18" s="4">
        <v>857741</v>
      </c>
      <c r="H18" s="5">
        <v>142259</v>
      </c>
      <c r="I18" s="2" t="s">
        <v>113</v>
      </c>
      <c r="J18" s="2" t="s">
        <v>114</v>
      </c>
      <c r="K18" s="2" t="s">
        <v>109</v>
      </c>
      <c r="L18" s="2">
        <v>17</v>
      </c>
      <c r="M18" s="2" t="s">
        <v>115</v>
      </c>
      <c r="N18" s="2" t="s">
        <v>81</v>
      </c>
      <c r="O18" s="2"/>
      <c r="P18" s="2" t="s">
        <v>25</v>
      </c>
    </row>
    <row r="19" spans="1:16" x14ac:dyDescent="0.3">
      <c r="A19" s="2">
        <v>18</v>
      </c>
      <c r="B19" s="2" t="s">
        <v>116</v>
      </c>
      <c r="C19" s="2" t="s">
        <v>117</v>
      </c>
      <c r="D19" s="2" t="s">
        <v>76</v>
      </c>
      <c r="E19" s="2" t="s">
        <v>118</v>
      </c>
      <c r="F19" s="3">
        <v>1500000</v>
      </c>
      <c r="G19" s="4">
        <v>1144640</v>
      </c>
      <c r="H19" s="5">
        <v>355360</v>
      </c>
      <c r="I19" s="2" t="s">
        <v>119</v>
      </c>
      <c r="J19" s="2" t="s">
        <v>120</v>
      </c>
      <c r="K19" s="2" t="s">
        <v>109</v>
      </c>
      <c r="L19" s="2">
        <v>18</v>
      </c>
      <c r="M19" s="2" t="s">
        <v>69</v>
      </c>
      <c r="N19" s="2" t="s">
        <v>81</v>
      </c>
      <c r="O19" s="2"/>
      <c r="P19" s="2" t="s">
        <v>25</v>
      </c>
    </row>
    <row r="20" spans="1:16" x14ac:dyDescent="0.3">
      <c r="A20" s="2">
        <v>19</v>
      </c>
      <c r="B20" s="2" t="s">
        <v>121</v>
      </c>
      <c r="C20" s="2" t="s">
        <v>122</v>
      </c>
      <c r="D20" s="2" t="s">
        <v>76</v>
      </c>
      <c r="E20" s="2" t="s">
        <v>123</v>
      </c>
      <c r="F20" s="3">
        <v>1000000</v>
      </c>
      <c r="G20" s="4">
        <v>717571</v>
      </c>
      <c r="H20" s="5">
        <v>282429</v>
      </c>
      <c r="I20" s="2" t="s">
        <v>124</v>
      </c>
      <c r="J20" s="2" t="s">
        <v>125</v>
      </c>
      <c r="K20" s="2" t="s">
        <v>109</v>
      </c>
      <c r="L20" s="2">
        <v>19</v>
      </c>
      <c r="M20" s="2" t="s">
        <v>50</v>
      </c>
      <c r="N20" s="2" t="s">
        <v>98</v>
      </c>
      <c r="O20" s="2"/>
      <c r="P20" s="2" t="s">
        <v>25</v>
      </c>
    </row>
    <row r="21" spans="1:16" x14ac:dyDescent="0.3">
      <c r="A21" s="2">
        <v>20</v>
      </c>
      <c r="B21" s="2" t="s">
        <v>126</v>
      </c>
      <c r="C21" s="2" t="s">
        <v>127</v>
      </c>
      <c r="D21" s="2" t="s">
        <v>76</v>
      </c>
      <c r="E21" s="2" t="s">
        <v>128</v>
      </c>
      <c r="F21" s="3">
        <v>1200000</v>
      </c>
      <c r="G21" s="4">
        <v>1044531</v>
      </c>
      <c r="H21" s="5">
        <v>155469</v>
      </c>
      <c r="I21" s="2" t="s">
        <v>129</v>
      </c>
      <c r="J21" s="2" t="s">
        <v>130</v>
      </c>
      <c r="K21" s="2" t="s">
        <v>109</v>
      </c>
      <c r="L21" s="2">
        <v>20</v>
      </c>
      <c r="M21" s="2" t="s">
        <v>92</v>
      </c>
      <c r="N21" s="2" t="s">
        <v>44</v>
      </c>
      <c r="O21" s="2"/>
      <c r="P21" s="2" t="s">
        <v>25</v>
      </c>
    </row>
    <row r="22" spans="1:16" x14ac:dyDescent="0.3">
      <c r="A22" s="2">
        <v>21</v>
      </c>
      <c r="B22" s="2" t="s">
        <v>131</v>
      </c>
      <c r="C22" s="2" t="s">
        <v>132</v>
      </c>
      <c r="D22" s="2" t="s">
        <v>76</v>
      </c>
      <c r="E22" s="2" t="s">
        <v>133</v>
      </c>
      <c r="F22" s="3">
        <v>800000</v>
      </c>
      <c r="G22" s="4">
        <v>566075</v>
      </c>
      <c r="H22" s="5">
        <v>233925</v>
      </c>
      <c r="I22" s="2" t="s">
        <v>134</v>
      </c>
      <c r="J22" s="2" t="s">
        <v>114</v>
      </c>
      <c r="K22" s="2" t="s">
        <v>109</v>
      </c>
      <c r="L22" s="2">
        <v>21</v>
      </c>
      <c r="M22" s="2" t="s">
        <v>23</v>
      </c>
      <c r="N22" s="2" t="s">
        <v>98</v>
      </c>
      <c r="O22" s="2"/>
      <c r="P22" s="2" t="s">
        <v>25</v>
      </c>
    </row>
    <row r="23" spans="1:16" x14ac:dyDescent="0.3">
      <c r="A23" s="2">
        <v>22</v>
      </c>
      <c r="B23" s="2" t="s">
        <v>135</v>
      </c>
      <c r="C23" s="2" t="s">
        <v>136</v>
      </c>
      <c r="D23" s="2" t="s">
        <v>76</v>
      </c>
      <c r="E23" s="2" t="s">
        <v>137</v>
      </c>
      <c r="F23" s="3">
        <v>1000000</v>
      </c>
      <c r="G23" s="4">
        <v>839679</v>
      </c>
      <c r="H23" s="5">
        <v>160321</v>
      </c>
      <c r="I23" s="2" t="s">
        <v>138</v>
      </c>
      <c r="J23" s="2" t="s">
        <v>139</v>
      </c>
      <c r="K23" s="2" t="s">
        <v>109</v>
      </c>
      <c r="L23" s="2">
        <v>22</v>
      </c>
      <c r="M23" s="2" t="s">
        <v>92</v>
      </c>
      <c r="N23" s="2" t="s">
        <v>32</v>
      </c>
      <c r="O23" s="2"/>
      <c r="P23" s="2" t="s">
        <v>25</v>
      </c>
    </row>
    <row r="24" spans="1:16" x14ac:dyDescent="0.3">
      <c r="A24" s="2">
        <v>23</v>
      </c>
      <c r="B24" s="2" t="s">
        <v>140</v>
      </c>
      <c r="C24" s="2" t="s">
        <v>141</v>
      </c>
      <c r="D24" s="2" t="s">
        <v>76</v>
      </c>
      <c r="E24" s="2" t="s">
        <v>142</v>
      </c>
      <c r="F24" s="3">
        <v>1200000</v>
      </c>
      <c r="G24" s="4">
        <v>1115053</v>
      </c>
      <c r="H24" s="5">
        <v>84947</v>
      </c>
      <c r="I24" s="2" t="s">
        <v>143</v>
      </c>
      <c r="J24" s="2" t="s">
        <v>130</v>
      </c>
      <c r="K24" s="2" t="s">
        <v>109</v>
      </c>
      <c r="L24" s="2">
        <v>23</v>
      </c>
      <c r="M24" s="2" t="s">
        <v>23</v>
      </c>
      <c r="N24" s="2" t="s">
        <v>93</v>
      </c>
      <c r="O24" s="2"/>
      <c r="P24" s="2" t="s">
        <v>25</v>
      </c>
    </row>
    <row r="25" spans="1:16" x14ac:dyDescent="0.3">
      <c r="A25" s="2">
        <v>24</v>
      </c>
      <c r="B25" s="2" t="s">
        <v>144</v>
      </c>
      <c r="C25" s="2" t="s">
        <v>145</v>
      </c>
      <c r="D25" s="2" t="s">
        <v>76</v>
      </c>
      <c r="E25" s="2" t="s">
        <v>146</v>
      </c>
      <c r="F25" s="3">
        <v>500000</v>
      </c>
      <c r="G25" s="4">
        <v>476906</v>
      </c>
      <c r="H25" s="5">
        <v>23094</v>
      </c>
      <c r="I25" s="2" t="s">
        <v>147</v>
      </c>
      <c r="J25" s="2" t="s">
        <v>148</v>
      </c>
      <c r="K25" s="2" t="s">
        <v>109</v>
      </c>
      <c r="L25" s="2">
        <v>24</v>
      </c>
      <c r="M25" s="2" t="s">
        <v>115</v>
      </c>
      <c r="N25" s="2" t="s">
        <v>81</v>
      </c>
      <c r="O25" s="2"/>
      <c r="P25" s="2" t="s">
        <v>25</v>
      </c>
    </row>
    <row r="26" spans="1:16" x14ac:dyDescent="0.3">
      <c r="A26" s="2">
        <v>25</v>
      </c>
      <c r="B26" s="2" t="s">
        <v>149</v>
      </c>
      <c r="C26" s="2" t="s">
        <v>150</v>
      </c>
      <c r="D26" s="2" t="s">
        <v>76</v>
      </c>
      <c r="E26" s="2" t="s">
        <v>151</v>
      </c>
      <c r="F26" s="3">
        <v>500000</v>
      </c>
      <c r="G26" s="4">
        <v>422460</v>
      </c>
      <c r="H26" s="5">
        <v>77540</v>
      </c>
      <c r="I26" s="2" t="s">
        <v>152</v>
      </c>
      <c r="J26" s="2" t="s">
        <v>153</v>
      </c>
      <c r="K26" s="2" t="s">
        <v>109</v>
      </c>
      <c r="L26" s="2">
        <v>25</v>
      </c>
      <c r="M26" s="2" t="s">
        <v>50</v>
      </c>
      <c r="N26" s="2" t="s">
        <v>24</v>
      </c>
      <c r="O26" s="2"/>
      <c r="P26" s="2" t="s">
        <v>25</v>
      </c>
    </row>
    <row r="27" spans="1:16" x14ac:dyDescent="0.3">
      <c r="A27" s="2">
        <v>26</v>
      </c>
      <c r="B27" s="2" t="s">
        <v>154</v>
      </c>
      <c r="C27" s="2" t="s">
        <v>155</v>
      </c>
      <c r="D27" s="2" t="s">
        <v>76</v>
      </c>
      <c r="E27" s="2" t="s">
        <v>156</v>
      </c>
      <c r="F27" s="3">
        <v>1200000</v>
      </c>
      <c r="G27" s="4">
        <v>1089523</v>
      </c>
      <c r="H27" s="5">
        <v>110477</v>
      </c>
      <c r="I27" s="2" t="s">
        <v>157</v>
      </c>
      <c r="J27" s="2" t="s">
        <v>68</v>
      </c>
      <c r="K27" s="2" t="s">
        <v>109</v>
      </c>
      <c r="L27" s="2">
        <v>26</v>
      </c>
      <c r="M27" s="2" t="s">
        <v>69</v>
      </c>
      <c r="N27" s="2" t="s">
        <v>81</v>
      </c>
      <c r="O27" s="2"/>
      <c r="P27" s="2" t="s">
        <v>25</v>
      </c>
    </row>
    <row r="28" spans="1:16" x14ac:dyDescent="0.3">
      <c r="A28" s="2">
        <v>27</v>
      </c>
      <c r="B28" s="2" t="s">
        <v>158</v>
      </c>
      <c r="C28" s="2" t="s">
        <v>159</v>
      </c>
      <c r="D28" s="2" t="s">
        <v>76</v>
      </c>
      <c r="E28" s="2" t="s">
        <v>160</v>
      </c>
      <c r="F28" s="3">
        <v>900000</v>
      </c>
      <c r="G28" s="4">
        <v>822816</v>
      </c>
      <c r="H28" s="5">
        <v>77184</v>
      </c>
      <c r="I28" s="2" t="s">
        <v>161</v>
      </c>
      <c r="J28" s="2" t="s">
        <v>162</v>
      </c>
      <c r="K28" s="2" t="s">
        <v>109</v>
      </c>
      <c r="L28" s="2">
        <v>27</v>
      </c>
      <c r="M28" s="2" t="s">
        <v>37</v>
      </c>
      <c r="N28" s="2" t="s">
        <v>38</v>
      </c>
      <c r="O28" s="2"/>
      <c r="P28" s="2" t="s">
        <v>25</v>
      </c>
    </row>
    <row r="29" spans="1:16" x14ac:dyDescent="0.3">
      <c r="A29" s="2">
        <v>28</v>
      </c>
      <c r="B29" s="2" t="s">
        <v>163</v>
      </c>
      <c r="C29" s="2" t="s">
        <v>164</v>
      </c>
      <c r="D29" s="2" t="s">
        <v>76</v>
      </c>
      <c r="E29" s="2" t="s">
        <v>165</v>
      </c>
      <c r="F29" s="3">
        <v>700000</v>
      </c>
      <c r="G29" s="4">
        <v>635284</v>
      </c>
      <c r="H29" s="5">
        <v>64716</v>
      </c>
      <c r="I29" s="2" t="s">
        <v>166</v>
      </c>
      <c r="J29" s="2" t="s">
        <v>167</v>
      </c>
      <c r="K29" s="2" t="s">
        <v>109</v>
      </c>
      <c r="L29" s="2">
        <v>28</v>
      </c>
      <c r="M29" s="2" t="s">
        <v>23</v>
      </c>
      <c r="N29" s="2" t="s">
        <v>93</v>
      </c>
      <c r="O29" s="2"/>
      <c r="P29" s="2" t="s">
        <v>25</v>
      </c>
    </row>
    <row r="30" spans="1:16" x14ac:dyDescent="0.3">
      <c r="A30" s="2">
        <v>29</v>
      </c>
      <c r="B30" s="2" t="s">
        <v>168</v>
      </c>
      <c r="C30" s="2" t="s">
        <v>169</v>
      </c>
      <c r="D30" s="2" t="s">
        <v>76</v>
      </c>
      <c r="E30" s="2" t="s">
        <v>170</v>
      </c>
      <c r="F30" s="3">
        <v>700000</v>
      </c>
      <c r="G30" s="4">
        <v>657542</v>
      </c>
      <c r="H30" s="5">
        <v>42458</v>
      </c>
      <c r="I30" s="2" t="s">
        <v>171</v>
      </c>
      <c r="J30" s="2" t="s">
        <v>130</v>
      </c>
      <c r="K30" s="2" t="s">
        <v>109</v>
      </c>
      <c r="L30" s="2">
        <v>29</v>
      </c>
      <c r="M30" s="2" t="s">
        <v>31</v>
      </c>
      <c r="N30" s="2" t="s">
        <v>81</v>
      </c>
      <c r="O30" s="2"/>
      <c r="P30" s="2" t="s">
        <v>25</v>
      </c>
    </row>
    <row r="31" spans="1:16" x14ac:dyDescent="0.3">
      <c r="A31" s="2">
        <v>30</v>
      </c>
      <c r="B31" s="2" t="s">
        <v>172</v>
      </c>
      <c r="C31" s="2" t="s">
        <v>173</v>
      </c>
      <c r="D31" s="2" t="s">
        <v>76</v>
      </c>
      <c r="E31" s="2" t="s">
        <v>174</v>
      </c>
      <c r="F31" s="3">
        <v>800000</v>
      </c>
      <c r="G31" s="4">
        <v>717471</v>
      </c>
      <c r="H31" s="5">
        <v>82529</v>
      </c>
      <c r="I31" s="2" t="s">
        <v>175</v>
      </c>
      <c r="J31" s="2" t="s">
        <v>176</v>
      </c>
      <c r="K31" s="2" t="s">
        <v>109</v>
      </c>
      <c r="L31" s="2">
        <v>30</v>
      </c>
      <c r="M31" s="2" t="s">
        <v>31</v>
      </c>
      <c r="N31" s="2" t="s">
        <v>44</v>
      </c>
      <c r="O31" s="2"/>
      <c r="P31" s="2" t="s">
        <v>25</v>
      </c>
    </row>
    <row r="32" spans="1:16" x14ac:dyDescent="0.3">
      <c r="A32" s="2">
        <v>31</v>
      </c>
      <c r="B32" s="2" t="s">
        <v>177</v>
      </c>
      <c r="C32" s="2" t="s">
        <v>178</v>
      </c>
      <c r="D32" s="2" t="s">
        <v>76</v>
      </c>
      <c r="E32" s="2" t="s">
        <v>106</v>
      </c>
      <c r="F32" s="3">
        <v>1500000</v>
      </c>
      <c r="G32" s="4">
        <v>1486624</v>
      </c>
      <c r="H32" s="5">
        <v>13376</v>
      </c>
      <c r="I32" s="2" t="s">
        <v>179</v>
      </c>
      <c r="J32" s="2" t="s">
        <v>180</v>
      </c>
      <c r="K32" s="2" t="s">
        <v>109</v>
      </c>
      <c r="L32" s="2">
        <v>31</v>
      </c>
      <c r="M32" s="2" t="s">
        <v>31</v>
      </c>
      <c r="N32" s="2" t="s">
        <v>44</v>
      </c>
      <c r="O32" s="2"/>
      <c r="P32" s="2" t="s">
        <v>25</v>
      </c>
    </row>
    <row r="33" spans="1:16" x14ac:dyDescent="0.3">
      <c r="A33" s="2">
        <v>32</v>
      </c>
      <c r="B33" s="2" t="s">
        <v>181</v>
      </c>
      <c r="C33" s="2" t="s">
        <v>182</v>
      </c>
      <c r="D33" s="2" t="s">
        <v>76</v>
      </c>
      <c r="E33" s="2" t="s">
        <v>112</v>
      </c>
      <c r="F33" s="3">
        <v>700000</v>
      </c>
      <c r="G33" s="4">
        <v>499156</v>
      </c>
      <c r="H33" s="5">
        <v>200844</v>
      </c>
      <c r="I33" s="2" t="s">
        <v>183</v>
      </c>
      <c r="J33" s="2" t="s">
        <v>184</v>
      </c>
      <c r="K33" s="2" t="s">
        <v>109</v>
      </c>
      <c r="L33" s="2">
        <v>32</v>
      </c>
      <c r="M33" s="2" t="s">
        <v>115</v>
      </c>
      <c r="N33" s="2" t="s">
        <v>51</v>
      </c>
      <c r="O33" s="2"/>
      <c r="P33" s="2" t="s">
        <v>25</v>
      </c>
    </row>
    <row r="34" spans="1:16" x14ac:dyDescent="0.3">
      <c r="A34" s="2">
        <v>33</v>
      </c>
      <c r="B34" s="2" t="s">
        <v>185</v>
      </c>
      <c r="C34" s="2" t="s">
        <v>186</v>
      </c>
      <c r="D34" s="2" t="s">
        <v>76</v>
      </c>
      <c r="E34" s="2" t="s">
        <v>118</v>
      </c>
      <c r="F34" s="3">
        <v>900000</v>
      </c>
      <c r="G34" s="4">
        <v>825353</v>
      </c>
      <c r="H34" s="5">
        <v>74647</v>
      </c>
      <c r="I34" s="2" t="s">
        <v>187</v>
      </c>
      <c r="J34" s="2" t="s">
        <v>188</v>
      </c>
      <c r="K34" s="2" t="s">
        <v>109</v>
      </c>
      <c r="L34" s="2">
        <v>33</v>
      </c>
      <c r="M34" s="2" t="s">
        <v>69</v>
      </c>
      <c r="N34" s="2" t="s">
        <v>44</v>
      </c>
      <c r="O34" s="2"/>
      <c r="P34" s="2" t="s">
        <v>25</v>
      </c>
    </row>
    <row r="35" spans="1:16" x14ac:dyDescent="0.3">
      <c r="A35" s="2">
        <v>34</v>
      </c>
      <c r="B35" s="2" t="s">
        <v>189</v>
      </c>
      <c r="C35" s="2" t="s">
        <v>190</v>
      </c>
      <c r="D35" s="2" t="s">
        <v>76</v>
      </c>
      <c r="E35" s="2" t="s">
        <v>123</v>
      </c>
      <c r="F35" s="3">
        <v>900000</v>
      </c>
      <c r="G35" s="4">
        <v>801857</v>
      </c>
      <c r="H35" s="5">
        <v>98143</v>
      </c>
      <c r="I35" s="2" t="s">
        <v>191</v>
      </c>
      <c r="J35" s="2" t="s">
        <v>55</v>
      </c>
      <c r="K35" s="2" t="s">
        <v>109</v>
      </c>
      <c r="L35" s="2">
        <v>34</v>
      </c>
      <c r="M35" s="2" t="s">
        <v>115</v>
      </c>
      <c r="N35" s="2" t="s">
        <v>98</v>
      </c>
      <c r="O35" s="2"/>
      <c r="P35" s="2" t="s">
        <v>25</v>
      </c>
    </row>
    <row r="36" spans="1:16" x14ac:dyDescent="0.3">
      <c r="A36" s="2">
        <v>35</v>
      </c>
      <c r="B36" s="2" t="s">
        <v>192</v>
      </c>
      <c r="C36" s="2" t="s">
        <v>193</v>
      </c>
      <c r="D36" s="2" t="s">
        <v>76</v>
      </c>
      <c r="E36" s="2" t="s">
        <v>128</v>
      </c>
      <c r="F36" s="3">
        <v>500000</v>
      </c>
      <c r="G36" s="4">
        <v>483996</v>
      </c>
      <c r="H36" s="5">
        <v>16004</v>
      </c>
      <c r="I36" s="2" t="s">
        <v>194</v>
      </c>
      <c r="J36" s="2" t="s">
        <v>195</v>
      </c>
      <c r="K36" s="2" t="s">
        <v>109</v>
      </c>
      <c r="L36" s="2">
        <v>35</v>
      </c>
      <c r="M36" s="2" t="s">
        <v>50</v>
      </c>
      <c r="N36" s="2" t="s">
        <v>98</v>
      </c>
      <c r="O36" s="2"/>
      <c r="P36" s="2" t="s">
        <v>25</v>
      </c>
    </row>
    <row r="37" spans="1:16" x14ac:dyDescent="0.3">
      <c r="A37" s="2">
        <v>36</v>
      </c>
      <c r="B37" s="2" t="s">
        <v>196</v>
      </c>
      <c r="C37" s="2" t="s">
        <v>197</v>
      </c>
      <c r="D37" s="2" t="s">
        <v>76</v>
      </c>
      <c r="E37" s="2" t="s">
        <v>133</v>
      </c>
      <c r="F37" s="3">
        <v>1500000</v>
      </c>
      <c r="G37" s="4">
        <v>1362495</v>
      </c>
      <c r="H37" s="5">
        <v>137505</v>
      </c>
      <c r="I37" s="2" t="s">
        <v>198</v>
      </c>
      <c r="J37" s="2" t="s">
        <v>199</v>
      </c>
      <c r="K37" s="2" t="s">
        <v>109</v>
      </c>
      <c r="L37" s="2">
        <v>36</v>
      </c>
      <c r="M37" s="2" t="s">
        <v>37</v>
      </c>
      <c r="N37" s="2" t="s">
        <v>93</v>
      </c>
      <c r="O37" s="2"/>
      <c r="P37" s="2" t="s">
        <v>25</v>
      </c>
    </row>
    <row r="38" spans="1:16" x14ac:dyDescent="0.3">
      <c r="A38" s="2">
        <v>37</v>
      </c>
      <c r="B38" s="2" t="s">
        <v>200</v>
      </c>
      <c r="C38" s="2" t="s">
        <v>201</v>
      </c>
      <c r="D38" s="2" t="s">
        <v>76</v>
      </c>
      <c r="E38" s="2" t="s">
        <v>137</v>
      </c>
      <c r="F38" s="3">
        <v>800000</v>
      </c>
      <c r="G38" s="4">
        <v>675384</v>
      </c>
      <c r="H38" s="5">
        <v>124616</v>
      </c>
      <c r="I38" s="2" t="s">
        <v>202</v>
      </c>
      <c r="J38" s="2" t="s">
        <v>203</v>
      </c>
      <c r="K38" s="2" t="s">
        <v>109</v>
      </c>
      <c r="L38" s="2">
        <v>37</v>
      </c>
      <c r="M38" s="2" t="s">
        <v>50</v>
      </c>
      <c r="N38" s="2" t="s">
        <v>24</v>
      </c>
      <c r="O38" s="2"/>
      <c r="P38" s="2" t="s">
        <v>25</v>
      </c>
    </row>
    <row r="39" spans="1:16" x14ac:dyDescent="0.3">
      <c r="A39" s="2">
        <v>38</v>
      </c>
      <c r="B39" s="2" t="s">
        <v>204</v>
      </c>
      <c r="C39" s="2" t="s">
        <v>205</v>
      </c>
      <c r="D39" s="2" t="s">
        <v>76</v>
      </c>
      <c r="E39" s="2" t="s">
        <v>142</v>
      </c>
      <c r="F39" s="3">
        <v>800000</v>
      </c>
      <c r="G39" s="4">
        <v>743820</v>
      </c>
      <c r="H39" s="5">
        <v>56180</v>
      </c>
      <c r="I39" s="2" t="s">
        <v>206</v>
      </c>
      <c r="J39" s="2" t="s">
        <v>108</v>
      </c>
      <c r="K39" s="2" t="s">
        <v>109</v>
      </c>
      <c r="L39" s="2">
        <v>38</v>
      </c>
      <c r="M39" s="2" t="s">
        <v>50</v>
      </c>
      <c r="N39" s="2" t="s">
        <v>24</v>
      </c>
      <c r="O39" s="2"/>
      <c r="P39" s="2" t="s">
        <v>25</v>
      </c>
    </row>
    <row r="40" spans="1:16" x14ac:dyDescent="0.3">
      <c r="A40" s="2">
        <v>39</v>
      </c>
      <c r="B40" s="2" t="s">
        <v>207</v>
      </c>
      <c r="C40" s="2" t="s">
        <v>208</v>
      </c>
      <c r="D40" s="2" t="s">
        <v>76</v>
      </c>
      <c r="E40" s="2" t="s">
        <v>146</v>
      </c>
      <c r="F40" s="3">
        <v>1200000</v>
      </c>
      <c r="G40" s="4">
        <v>889884</v>
      </c>
      <c r="H40" s="5">
        <v>310116</v>
      </c>
      <c r="I40" s="2" t="s">
        <v>209</v>
      </c>
      <c r="J40" s="2" t="s">
        <v>188</v>
      </c>
      <c r="K40" s="2" t="s">
        <v>109</v>
      </c>
      <c r="L40" s="2">
        <v>39</v>
      </c>
      <c r="M40" s="2" t="s">
        <v>23</v>
      </c>
      <c r="N40" s="2" t="s">
        <v>38</v>
      </c>
      <c r="O40" s="2"/>
      <c r="P40" s="2" t="s">
        <v>25</v>
      </c>
    </row>
    <row r="41" spans="1:16" x14ac:dyDescent="0.3">
      <c r="A41" s="2">
        <v>40</v>
      </c>
      <c r="B41" s="2" t="s">
        <v>210</v>
      </c>
      <c r="C41" s="2" t="s">
        <v>211</v>
      </c>
      <c r="D41" s="2" t="s">
        <v>76</v>
      </c>
      <c r="E41" s="2" t="s">
        <v>151</v>
      </c>
      <c r="F41" s="3">
        <v>600000</v>
      </c>
      <c r="G41" s="4">
        <v>565632</v>
      </c>
      <c r="H41" s="5">
        <v>34368</v>
      </c>
      <c r="I41" s="2" t="s">
        <v>212</v>
      </c>
      <c r="J41" s="2" t="s">
        <v>213</v>
      </c>
      <c r="K41" s="2" t="s">
        <v>109</v>
      </c>
      <c r="L41" s="2">
        <v>40</v>
      </c>
      <c r="M41" s="2" t="s">
        <v>92</v>
      </c>
      <c r="N41" s="2" t="s">
        <v>44</v>
      </c>
      <c r="O41" s="2"/>
      <c r="P41" s="2" t="s">
        <v>25</v>
      </c>
    </row>
    <row r="42" spans="1:16" x14ac:dyDescent="0.3">
      <c r="A42" s="2">
        <v>41</v>
      </c>
      <c r="B42" s="2" t="s">
        <v>214</v>
      </c>
      <c r="C42" s="2" t="s">
        <v>215</v>
      </c>
      <c r="D42" s="2" t="s">
        <v>76</v>
      </c>
      <c r="E42" s="2" t="s">
        <v>156</v>
      </c>
      <c r="F42" s="3">
        <v>1000000</v>
      </c>
      <c r="G42" s="4">
        <v>729710</v>
      </c>
      <c r="H42" s="5">
        <v>270290</v>
      </c>
      <c r="I42" s="2" t="s">
        <v>216</v>
      </c>
      <c r="J42" s="2" t="s">
        <v>217</v>
      </c>
      <c r="K42" s="2" t="s">
        <v>109</v>
      </c>
      <c r="L42" s="2">
        <v>41</v>
      </c>
      <c r="M42" s="2" t="s">
        <v>31</v>
      </c>
      <c r="N42" s="2" t="s">
        <v>81</v>
      </c>
      <c r="O42" s="2"/>
      <c r="P42" s="2" t="s">
        <v>25</v>
      </c>
    </row>
    <row r="43" spans="1:16" x14ac:dyDescent="0.3">
      <c r="A43" s="2">
        <v>42</v>
      </c>
      <c r="B43" s="2" t="s">
        <v>218</v>
      </c>
      <c r="C43" s="2" t="s">
        <v>219</v>
      </c>
      <c r="D43" s="2" t="s">
        <v>76</v>
      </c>
      <c r="E43" s="2" t="s">
        <v>160</v>
      </c>
      <c r="F43" s="3">
        <v>800000</v>
      </c>
      <c r="G43" s="4">
        <v>661082</v>
      </c>
      <c r="H43" s="5">
        <v>138918</v>
      </c>
      <c r="I43" s="2" t="s">
        <v>220</v>
      </c>
      <c r="J43" s="2" t="s">
        <v>180</v>
      </c>
      <c r="K43" s="2" t="s">
        <v>109</v>
      </c>
      <c r="L43" s="2">
        <v>42</v>
      </c>
      <c r="M43" s="2" t="s">
        <v>69</v>
      </c>
      <c r="N43" s="2" t="s">
        <v>93</v>
      </c>
      <c r="O43" s="2"/>
      <c r="P43" s="2" t="s">
        <v>25</v>
      </c>
    </row>
    <row r="44" spans="1:16" x14ac:dyDescent="0.3">
      <c r="A44" s="2">
        <v>43</v>
      </c>
      <c r="B44" s="2" t="s">
        <v>221</v>
      </c>
      <c r="C44" s="2" t="s">
        <v>222</v>
      </c>
      <c r="D44" s="2" t="s">
        <v>76</v>
      </c>
      <c r="E44" s="2" t="s">
        <v>165</v>
      </c>
      <c r="F44" s="3">
        <v>900000</v>
      </c>
      <c r="G44" s="4">
        <v>728377</v>
      </c>
      <c r="H44" s="5">
        <v>171623</v>
      </c>
      <c r="I44" s="2" t="s">
        <v>223</v>
      </c>
      <c r="J44" s="2" t="s">
        <v>224</v>
      </c>
      <c r="K44" s="2" t="s">
        <v>109</v>
      </c>
      <c r="L44" s="2">
        <v>43</v>
      </c>
      <c r="M44" s="2" t="s">
        <v>69</v>
      </c>
      <c r="N44" s="2" t="s">
        <v>32</v>
      </c>
      <c r="O44" s="2"/>
      <c r="P44" s="2" t="s">
        <v>25</v>
      </c>
    </row>
    <row r="45" spans="1:16" x14ac:dyDescent="0.3">
      <c r="A45" s="2">
        <v>44</v>
      </c>
      <c r="B45" s="2" t="s">
        <v>225</v>
      </c>
      <c r="C45" s="2" t="s">
        <v>226</v>
      </c>
      <c r="D45" s="2" t="s">
        <v>76</v>
      </c>
      <c r="E45" s="2" t="s">
        <v>170</v>
      </c>
      <c r="F45" s="3">
        <v>600000</v>
      </c>
      <c r="G45" s="4">
        <v>463662</v>
      </c>
      <c r="H45" s="5">
        <v>136338</v>
      </c>
      <c r="I45" s="2" t="s">
        <v>227</v>
      </c>
      <c r="J45" s="2" t="s">
        <v>228</v>
      </c>
      <c r="K45" s="2" t="s">
        <v>109</v>
      </c>
      <c r="L45" s="2">
        <v>44</v>
      </c>
      <c r="M45" s="2" t="s">
        <v>92</v>
      </c>
      <c r="N45" s="2" t="s">
        <v>32</v>
      </c>
      <c r="O45" s="2"/>
      <c r="P45" s="2" t="s">
        <v>25</v>
      </c>
    </row>
    <row r="46" spans="1:16" x14ac:dyDescent="0.3">
      <c r="A46" s="2">
        <v>45</v>
      </c>
      <c r="B46" s="2" t="s">
        <v>229</v>
      </c>
      <c r="C46" s="2" t="s">
        <v>230</v>
      </c>
      <c r="D46" s="2" t="s">
        <v>76</v>
      </c>
      <c r="E46" s="2" t="s">
        <v>174</v>
      </c>
      <c r="F46" s="3">
        <v>700000</v>
      </c>
      <c r="G46" s="4">
        <v>679111</v>
      </c>
      <c r="H46" s="5">
        <v>20889</v>
      </c>
      <c r="I46" s="2" t="s">
        <v>231</v>
      </c>
      <c r="J46" s="2" t="s">
        <v>232</v>
      </c>
      <c r="K46" s="2" t="s">
        <v>109</v>
      </c>
      <c r="L46" s="2">
        <v>45</v>
      </c>
      <c r="M46" s="2" t="s">
        <v>23</v>
      </c>
      <c r="N46" s="2" t="s">
        <v>32</v>
      </c>
      <c r="O46" s="2"/>
      <c r="P46" s="2" t="s">
        <v>25</v>
      </c>
    </row>
    <row r="47" spans="1:16" x14ac:dyDescent="0.3">
      <c r="A47" s="2">
        <v>46</v>
      </c>
      <c r="B47" s="2" t="s">
        <v>233</v>
      </c>
      <c r="C47" s="2" t="s">
        <v>234</v>
      </c>
      <c r="D47" s="2" t="s">
        <v>76</v>
      </c>
      <c r="E47" s="2" t="s">
        <v>106</v>
      </c>
      <c r="F47" s="3">
        <v>1500000</v>
      </c>
      <c r="G47" s="4">
        <v>1390250</v>
      </c>
      <c r="H47" s="5">
        <v>109750</v>
      </c>
      <c r="I47" s="2" t="s">
        <v>235</v>
      </c>
      <c r="J47" s="2" t="s">
        <v>103</v>
      </c>
      <c r="K47" s="2" t="s">
        <v>109</v>
      </c>
      <c r="L47" s="2">
        <v>46</v>
      </c>
      <c r="M47" s="2" t="s">
        <v>23</v>
      </c>
      <c r="N47" s="2" t="s">
        <v>93</v>
      </c>
      <c r="O47" s="2"/>
      <c r="P47" s="2" t="s">
        <v>25</v>
      </c>
    </row>
    <row r="48" spans="1:16" x14ac:dyDescent="0.3">
      <c r="A48" s="2">
        <v>47</v>
      </c>
      <c r="B48" s="2" t="s">
        <v>236</v>
      </c>
      <c r="C48" s="2" t="s">
        <v>237</v>
      </c>
      <c r="D48" s="2" t="s">
        <v>76</v>
      </c>
      <c r="E48" s="2" t="s">
        <v>112</v>
      </c>
      <c r="F48" s="3">
        <v>500000</v>
      </c>
      <c r="G48" s="4">
        <v>477909</v>
      </c>
      <c r="H48" s="5">
        <v>22091</v>
      </c>
      <c r="I48" s="2" t="s">
        <v>238</v>
      </c>
      <c r="J48" s="2" t="s">
        <v>108</v>
      </c>
      <c r="K48" s="2" t="s">
        <v>109</v>
      </c>
      <c r="L48" s="2">
        <v>47</v>
      </c>
      <c r="M48" s="2" t="s">
        <v>37</v>
      </c>
      <c r="N48" s="2" t="s">
        <v>81</v>
      </c>
      <c r="O48" s="2"/>
      <c r="P48" s="2" t="s">
        <v>25</v>
      </c>
    </row>
    <row r="49" spans="1:16" x14ac:dyDescent="0.3">
      <c r="A49" s="2">
        <v>48</v>
      </c>
      <c r="B49" s="2" t="s">
        <v>239</v>
      </c>
      <c r="C49" s="2" t="s">
        <v>240</v>
      </c>
      <c r="D49" s="2" t="s">
        <v>76</v>
      </c>
      <c r="E49" s="2" t="s">
        <v>118</v>
      </c>
      <c r="F49" s="3">
        <v>700000</v>
      </c>
      <c r="G49" s="4">
        <v>612078</v>
      </c>
      <c r="H49" s="5">
        <v>87922</v>
      </c>
      <c r="I49" s="2" t="s">
        <v>241</v>
      </c>
      <c r="J49" s="2" t="s">
        <v>103</v>
      </c>
      <c r="K49" s="2" t="s">
        <v>109</v>
      </c>
      <c r="L49" s="2">
        <v>48</v>
      </c>
      <c r="M49" s="2" t="s">
        <v>115</v>
      </c>
      <c r="N49" s="2" t="s">
        <v>81</v>
      </c>
      <c r="O49" s="2"/>
      <c r="P49" s="2" t="s">
        <v>25</v>
      </c>
    </row>
    <row r="50" spans="1:16" x14ac:dyDescent="0.3">
      <c r="A50" s="2">
        <v>49</v>
      </c>
      <c r="B50" s="2" t="s">
        <v>242</v>
      </c>
      <c r="C50" s="2" t="s">
        <v>243</v>
      </c>
      <c r="D50" s="2" t="s">
        <v>76</v>
      </c>
      <c r="E50" s="2" t="s">
        <v>123</v>
      </c>
      <c r="F50" s="3">
        <v>800000</v>
      </c>
      <c r="G50" s="4">
        <v>611071</v>
      </c>
      <c r="H50" s="5">
        <v>188929</v>
      </c>
      <c r="I50" s="2" t="s">
        <v>244</v>
      </c>
      <c r="J50" s="2" t="s">
        <v>245</v>
      </c>
      <c r="K50" s="2" t="s">
        <v>109</v>
      </c>
      <c r="L50" s="2">
        <v>49</v>
      </c>
      <c r="M50" s="2" t="s">
        <v>50</v>
      </c>
      <c r="N50" s="2" t="s">
        <v>51</v>
      </c>
      <c r="O50" s="2"/>
      <c r="P50" s="2" t="s">
        <v>25</v>
      </c>
    </row>
    <row r="51" spans="1:16" x14ac:dyDescent="0.3">
      <c r="A51" s="2">
        <v>50</v>
      </c>
      <c r="B51" s="2" t="s">
        <v>246</v>
      </c>
      <c r="C51" s="2" t="s">
        <v>247</v>
      </c>
      <c r="D51" s="2" t="s">
        <v>76</v>
      </c>
      <c r="E51" s="2" t="s">
        <v>128</v>
      </c>
      <c r="F51" s="3">
        <v>700000</v>
      </c>
      <c r="G51" s="4">
        <v>533905</v>
      </c>
      <c r="H51" s="5">
        <v>166095</v>
      </c>
      <c r="I51" s="2" t="s">
        <v>248</v>
      </c>
      <c r="J51" s="2" t="s">
        <v>103</v>
      </c>
      <c r="K51" s="2" t="s">
        <v>109</v>
      </c>
      <c r="L51" s="2">
        <v>50</v>
      </c>
      <c r="M51" s="2" t="s">
        <v>69</v>
      </c>
      <c r="N51" s="2" t="s">
        <v>24</v>
      </c>
      <c r="O51" s="2"/>
      <c r="P51" s="2" t="s">
        <v>25</v>
      </c>
    </row>
    <row r="52" spans="1:16" x14ac:dyDescent="0.3">
      <c r="A52" s="2">
        <v>51</v>
      </c>
      <c r="B52" s="2" t="s">
        <v>249</v>
      </c>
      <c r="C52" s="2" t="s">
        <v>250</v>
      </c>
      <c r="D52" s="2" t="s">
        <v>76</v>
      </c>
      <c r="E52" s="2" t="s">
        <v>133</v>
      </c>
      <c r="F52" s="3">
        <v>1200000</v>
      </c>
      <c r="G52" s="4">
        <v>1002824</v>
      </c>
      <c r="H52" s="5">
        <v>197176</v>
      </c>
      <c r="I52" s="2" t="s">
        <v>251</v>
      </c>
      <c r="J52" s="2" t="s">
        <v>252</v>
      </c>
      <c r="K52" s="2" t="s">
        <v>109</v>
      </c>
      <c r="L52" s="2">
        <v>51</v>
      </c>
      <c r="M52" s="2" t="s">
        <v>50</v>
      </c>
      <c r="N52" s="2" t="s">
        <v>93</v>
      </c>
      <c r="O52" s="2"/>
      <c r="P52" s="2" t="s">
        <v>25</v>
      </c>
    </row>
    <row r="53" spans="1:16" x14ac:dyDescent="0.3">
      <c r="A53" s="2">
        <v>52</v>
      </c>
      <c r="B53" s="2" t="s">
        <v>253</v>
      </c>
      <c r="C53" s="2" t="s">
        <v>254</v>
      </c>
      <c r="D53" s="2" t="s">
        <v>76</v>
      </c>
      <c r="E53" s="2" t="s">
        <v>137</v>
      </c>
      <c r="F53" s="3">
        <v>900000</v>
      </c>
      <c r="G53" s="4">
        <v>819329</v>
      </c>
      <c r="H53" s="5">
        <v>80671</v>
      </c>
      <c r="I53" s="2" t="s">
        <v>255</v>
      </c>
      <c r="J53" s="2" t="s">
        <v>256</v>
      </c>
      <c r="K53" s="2" t="s">
        <v>109</v>
      </c>
      <c r="L53" s="2">
        <v>52</v>
      </c>
      <c r="M53" s="2" t="s">
        <v>31</v>
      </c>
      <c r="N53" s="2" t="s">
        <v>93</v>
      </c>
      <c r="O53" s="2"/>
      <c r="P53" s="2" t="s">
        <v>25</v>
      </c>
    </row>
    <row r="54" spans="1:16" x14ac:dyDescent="0.3">
      <c r="A54" s="2">
        <v>53</v>
      </c>
      <c r="B54" s="2" t="s">
        <v>257</v>
      </c>
      <c r="C54" s="2" t="s">
        <v>258</v>
      </c>
      <c r="D54" s="2" t="s">
        <v>76</v>
      </c>
      <c r="E54" s="2" t="s">
        <v>142</v>
      </c>
      <c r="F54" s="3">
        <v>1200000</v>
      </c>
      <c r="G54" s="4">
        <v>1132048</v>
      </c>
      <c r="H54" s="5">
        <v>67952</v>
      </c>
      <c r="I54" s="2" t="s">
        <v>259</v>
      </c>
      <c r="J54" s="2" t="s">
        <v>79</v>
      </c>
      <c r="K54" s="2" t="s">
        <v>109</v>
      </c>
      <c r="L54" s="2">
        <v>53</v>
      </c>
      <c r="M54" s="2" t="s">
        <v>115</v>
      </c>
      <c r="N54" s="2" t="s">
        <v>32</v>
      </c>
      <c r="O54" s="2"/>
      <c r="P54" s="2" t="s">
        <v>25</v>
      </c>
    </row>
    <row r="55" spans="1:16" x14ac:dyDescent="0.3">
      <c r="A55" s="2">
        <v>54</v>
      </c>
      <c r="B55" s="2" t="s">
        <v>260</v>
      </c>
      <c r="C55" s="2" t="s">
        <v>261</v>
      </c>
      <c r="D55" s="2" t="s">
        <v>76</v>
      </c>
      <c r="E55" s="2" t="s">
        <v>146</v>
      </c>
      <c r="F55" s="3">
        <v>900000</v>
      </c>
      <c r="G55" s="4">
        <v>844339</v>
      </c>
      <c r="H55" s="5">
        <v>55661</v>
      </c>
      <c r="I55" s="2" t="s">
        <v>262</v>
      </c>
      <c r="J55" s="2" t="s">
        <v>263</v>
      </c>
      <c r="K55" s="2" t="s">
        <v>109</v>
      </c>
      <c r="L55" s="2">
        <v>54</v>
      </c>
      <c r="M55" s="2" t="s">
        <v>31</v>
      </c>
      <c r="N55" s="2" t="s">
        <v>44</v>
      </c>
      <c r="O55" s="2"/>
      <c r="P55" s="2" t="s">
        <v>25</v>
      </c>
    </row>
    <row r="56" spans="1:16" x14ac:dyDescent="0.3">
      <c r="A56" s="2">
        <v>55</v>
      </c>
      <c r="B56" s="2" t="s">
        <v>264</v>
      </c>
      <c r="C56" s="2" t="s">
        <v>265</v>
      </c>
      <c r="D56" s="2" t="s">
        <v>76</v>
      </c>
      <c r="E56" s="2" t="s">
        <v>151</v>
      </c>
      <c r="F56" s="3">
        <v>600000</v>
      </c>
      <c r="G56" s="4">
        <v>441870</v>
      </c>
      <c r="H56" s="5">
        <v>158130</v>
      </c>
      <c r="I56" s="2" t="s">
        <v>266</v>
      </c>
      <c r="J56" s="2" t="s">
        <v>267</v>
      </c>
      <c r="K56" s="2" t="s">
        <v>109</v>
      </c>
      <c r="L56" s="2">
        <v>55</v>
      </c>
      <c r="M56" s="2" t="s">
        <v>23</v>
      </c>
      <c r="N56" s="2" t="s">
        <v>51</v>
      </c>
      <c r="O56" s="2"/>
      <c r="P56" s="2" t="s">
        <v>25</v>
      </c>
    </row>
    <row r="57" spans="1:16" x14ac:dyDescent="0.3">
      <c r="A57" s="2">
        <v>56</v>
      </c>
      <c r="B57" s="2" t="s">
        <v>268</v>
      </c>
      <c r="C57" s="2" t="s">
        <v>269</v>
      </c>
      <c r="D57" s="2" t="s">
        <v>76</v>
      </c>
      <c r="E57" s="2" t="s">
        <v>156</v>
      </c>
      <c r="F57" s="3">
        <v>600000</v>
      </c>
      <c r="G57" s="4">
        <v>443417</v>
      </c>
      <c r="H57" s="5">
        <v>156583</v>
      </c>
      <c r="I57" s="2" t="s">
        <v>270</v>
      </c>
      <c r="J57" s="2" t="s">
        <v>271</v>
      </c>
      <c r="K57" s="2" t="s">
        <v>109</v>
      </c>
      <c r="L57" s="2">
        <v>56</v>
      </c>
      <c r="M57" s="2" t="s">
        <v>50</v>
      </c>
      <c r="N57" s="2" t="s">
        <v>51</v>
      </c>
      <c r="O57" s="2"/>
      <c r="P57" s="2" t="s">
        <v>25</v>
      </c>
    </row>
    <row r="58" spans="1:16" x14ac:dyDescent="0.3">
      <c r="A58" s="2">
        <v>57</v>
      </c>
      <c r="B58" s="2" t="s">
        <v>272</v>
      </c>
      <c r="C58" s="2" t="s">
        <v>273</v>
      </c>
      <c r="D58" s="2" t="s">
        <v>76</v>
      </c>
      <c r="E58" s="2" t="s">
        <v>160</v>
      </c>
      <c r="F58" s="3">
        <v>700000</v>
      </c>
      <c r="G58" s="4">
        <v>613730</v>
      </c>
      <c r="H58" s="5">
        <v>86270</v>
      </c>
      <c r="I58" s="2" t="s">
        <v>274</v>
      </c>
      <c r="J58" s="2" t="s">
        <v>275</v>
      </c>
      <c r="K58" s="2" t="s">
        <v>109</v>
      </c>
      <c r="L58" s="2">
        <v>57</v>
      </c>
      <c r="M58" s="2" t="s">
        <v>115</v>
      </c>
      <c r="N58" s="2" t="s">
        <v>24</v>
      </c>
      <c r="O58" s="2"/>
      <c r="P58" s="2" t="s">
        <v>25</v>
      </c>
    </row>
    <row r="59" spans="1:16" x14ac:dyDescent="0.3">
      <c r="A59" s="2">
        <v>58</v>
      </c>
      <c r="B59" s="2" t="s">
        <v>276</v>
      </c>
      <c r="C59" s="2" t="s">
        <v>277</v>
      </c>
      <c r="D59" s="2" t="s">
        <v>76</v>
      </c>
      <c r="E59" s="2" t="s">
        <v>165</v>
      </c>
      <c r="F59" s="3">
        <v>1200000</v>
      </c>
      <c r="G59" s="4">
        <v>1117686</v>
      </c>
      <c r="H59" s="5">
        <v>82314</v>
      </c>
      <c r="I59" s="2" t="s">
        <v>278</v>
      </c>
      <c r="J59" s="2" t="s">
        <v>279</v>
      </c>
      <c r="K59" s="2" t="s">
        <v>109</v>
      </c>
      <c r="L59" s="2">
        <v>58</v>
      </c>
      <c r="M59" s="2" t="s">
        <v>23</v>
      </c>
      <c r="N59" s="2" t="s">
        <v>51</v>
      </c>
      <c r="O59" s="2"/>
      <c r="P59" s="2" t="s">
        <v>25</v>
      </c>
    </row>
    <row r="60" spans="1:16" x14ac:dyDescent="0.3">
      <c r="A60" s="2">
        <v>59</v>
      </c>
      <c r="B60" s="2" t="s">
        <v>280</v>
      </c>
      <c r="C60" s="2" t="s">
        <v>281</v>
      </c>
      <c r="D60" s="2" t="s">
        <v>76</v>
      </c>
      <c r="E60" s="2" t="s">
        <v>170</v>
      </c>
      <c r="F60" s="3">
        <v>500000</v>
      </c>
      <c r="G60" s="4">
        <v>492387</v>
      </c>
      <c r="H60" s="5">
        <v>7613</v>
      </c>
      <c r="I60" s="2" t="s">
        <v>282</v>
      </c>
      <c r="J60" s="2" t="s">
        <v>275</v>
      </c>
      <c r="K60" s="2" t="s">
        <v>109</v>
      </c>
      <c r="L60" s="2">
        <v>59</v>
      </c>
      <c r="M60" s="2" t="s">
        <v>31</v>
      </c>
      <c r="N60" s="2" t="s">
        <v>51</v>
      </c>
      <c r="O60" s="2"/>
      <c r="P60" s="2" t="s">
        <v>25</v>
      </c>
    </row>
    <row r="61" spans="1:16" x14ac:dyDescent="0.3">
      <c r="A61" s="2">
        <v>60</v>
      </c>
      <c r="B61" s="2" t="s">
        <v>283</v>
      </c>
      <c r="C61" s="2" t="s">
        <v>284</v>
      </c>
      <c r="D61" s="2" t="s">
        <v>76</v>
      </c>
      <c r="E61" s="2" t="s">
        <v>174</v>
      </c>
      <c r="F61" s="3">
        <v>700000</v>
      </c>
      <c r="G61" s="4">
        <v>566244</v>
      </c>
      <c r="H61" s="5">
        <v>133756</v>
      </c>
      <c r="I61" s="2" t="s">
        <v>285</v>
      </c>
      <c r="J61" s="2" t="s">
        <v>286</v>
      </c>
      <c r="K61" s="2" t="s">
        <v>109</v>
      </c>
      <c r="L61" s="2">
        <v>60</v>
      </c>
      <c r="M61" s="2" t="s">
        <v>31</v>
      </c>
      <c r="N61" s="2" t="s">
        <v>98</v>
      </c>
      <c r="O61" s="2"/>
      <c r="P61" s="2" t="s">
        <v>25</v>
      </c>
    </row>
    <row r="62" spans="1:16" x14ac:dyDescent="0.3">
      <c r="A62" s="2">
        <v>61</v>
      </c>
      <c r="B62" s="2" t="s">
        <v>287</v>
      </c>
      <c r="C62" s="2" t="s">
        <v>288</v>
      </c>
      <c r="D62" s="2" t="s">
        <v>76</v>
      </c>
      <c r="E62" s="2" t="s">
        <v>106</v>
      </c>
      <c r="F62" s="3">
        <v>1200000</v>
      </c>
      <c r="G62" s="4">
        <v>1085598</v>
      </c>
      <c r="H62" s="5">
        <v>114402</v>
      </c>
      <c r="I62" s="2" t="s">
        <v>289</v>
      </c>
      <c r="J62" s="2" t="s">
        <v>290</v>
      </c>
      <c r="K62" s="2" t="s">
        <v>109</v>
      </c>
      <c r="L62" s="2">
        <v>61</v>
      </c>
      <c r="M62" s="2" t="s">
        <v>115</v>
      </c>
      <c r="N62" s="2" t="s">
        <v>93</v>
      </c>
      <c r="O62" s="2"/>
      <c r="P62" s="2" t="s">
        <v>25</v>
      </c>
    </row>
    <row r="63" spans="1:16" x14ac:dyDescent="0.3">
      <c r="A63" s="2">
        <v>62</v>
      </c>
      <c r="B63" s="2" t="s">
        <v>291</v>
      </c>
      <c r="C63" s="2" t="s">
        <v>292</v>
      </c>
      <c r="D63" s="2" t="s">
        <v>76</v>
      </c>
      <c r="E63" s="2" t="s">
        <v>112</v>
      </c>
      <c r="F63" s="3">
        <v>700000</v>
      </c>
      <c r="G63" s="4">
        <v>570772</v>
      </c>
      <c r="H63" s="5">
        <v>129228</v>
      </c>
      <c r="I63" s="2" t="s">
        <v>293</v>
      </c>
      <c r="J63" s="2" t="s">
        <v>294</v>
      </c>
      <c r="K63" s="2" t="s">
        <v>109</v>
      </c>
      <c r="L63" s="2">
        <v>62</v>
      </c>
      <c r="M63" s="2" t="s">
        <v>50</v>
      </c>
      <c r="N63" s="2" t="s">
        <v>24</v>
      </c>
      <c r="O63" s="2"/>
      <c r="P63" s="2" t="s">
        <v>25</v>
      </c>
    </row>
    <row r="64" spans="1:16" x14ac:dyDescent="0.3">
      <c r="A64" s="2">
        <v>63</v>
      </c>
      <c r="B64" s="2" t="s">
        <v>295</v>
      </c>
      <c r="C64" s="2" t="s">
        <v>296</v>
      </c>
      <c r="D64" s="2" t="s">
        <v>76</v>
      </c>
      <c r="E64" s="2" t="s">
        <v>118</v>
      </c>
      <c r="F64" s="3">
        <v>800000</v>
      </c>
      <c r="G64" s="4">
        <v>603999</v>
      </c>
      <c r="H64" s="5">
        <v>196001</v>
      </c>
      <c r="I64" s="2" t="s">
        <v>297</v>
      </c>
      <c r="J64" s="2" t="s">
        <v>195</v>
      </c>
      <c r="K64" s="2" t="s">
        <v>109</v>
      </c>
      <c r="L64" s="2">
        <v>63</v>
      </c>
      <c r="M64" s="2" t="s">
        <v>69</v>
      </c>
      <c r="N64" s="2" t="s">
        <v>81</v>
      </c>
      <c r="O64" s="2"/>
      <c r="P64" s="2" t="s">
        <v>25</v>
      </c>
    </row>
    <row r="65" spans="1:16" x14ac:dyDescent="0.3">
      <c r="A65" s="2">
        <v>64</v>
      </c>
      <c r="B65" s="2" t="s">
        <v>298</v>
      </c>
      <c r="C65" s="2" t="s">
        <v>299</v>
      </c>
      <c r="D65" s="2" t="s">
        <v>76</v>
      </c>
      <c r="E65" s="2" t="s">
        <v>123</v>
      </c>
      <c r="F65" s="3">
        <v>500000</v>
      </c>
      <c r="G65" s="4">
        <v>466564</v>
      </c>
      <c r="H65" s="5">
        <v>33436</v>
      </c>
      <c r="I65" s="2" t="s">
        <v>300</v>
      </c>
      <c r="J65" s="2" t="s">
        <v>301</v>
      </c>
      <c r="K65" s="2" t="s">
        <v>109</v>
      </c>
      <c r="L65" s="2">
        <v>64</v>
      </c>
      <c r="M65" s="2" t="s">
        <v>92</v>
      </c>
      <c r="N65" s="2" t="s">
        <v>51</v>
      </c>
      <c r="O65" s="2"/>
      <c r="P65" s="2" t="s">
        <v>25</v>
      </c>
    </row>
    <row r="66" spans="1:16" x14ac:dyDescent="0.3">
      <c r="A66" s="2">
        <v>65</v>
      </c>
      <c r="B66" s="2" t="s">
        <v>302</v>
      </c>
      <c r="C66" s="2" t="s">
        <v>303</v>
      </c>
      <c r="D66" s="2" t="s">
        <v>76</v>
      </c>
      <c r="E66" s="2" t="s">
        <v>128</v>
      </c>
      <c r="F66" s="3">
        <v>700000</v>
      </c>
      <c r="G66" s="4">
        <v>495433</v>
      </c>
      <c r="H66" s="5">
        <v>204567</v>
      </c>
      <c r="I66" s="2" t="s">
        <v>304</v>
      </c>
      <c r="J66" s="2" t="s">
        <v>305</v>
      </c>
      <c r="K66" s="2" t="s">
        <v>109</v>
      </c>
      <c r="L66" s="2">
        <v>65</v>
      </c>
      <c r="M66" s="2" t="s">
        <v>115</v>
      </c>
      <c r="N66" s="2" t="s">
        <v>81</v>
      </c>
      <c r="O66" s="2"/>
      <c r="P66" s="2" t="s">
        <v>25</v>
      </c>
    </row>
    <row r="67" spans="1:16" x14ac:dyDescent="0.3">
      <c r="A67" s="2">
        <v>66</v>
      </c>
      <c r="B67" s="2" t="s">
        <v>306</v>
      </c>
      <c r="C67" s="2" t="s">
        <v>307</v>
      </c>
      <c r="D67" s="2" t="s">
        <v>76</v>
      </c>
      <c r="E67" s="2" t="s">
        <v>133</v>
      </c>
      <c r="F67" s="3">
        <v>800000</v>
      </c>
      <c r="G67" s="4">
        <v>716728</v>
      </c>
      <c r="H67" s="5">
        <v>83272</v>
      </c>
      <c r="I67" s="2" t="s">
        <v>308</v>
      </c>
      <c r="J67" s="2" t="s">
        <v>309</v>
      </c>
      <c r="K67" s="2" t="s">
        <v>109</v>
      </c>
      <c r="L67" s="2">
        <v>66</v>
      </c>
      <c r="M67" s="2" t="s">
        <v>56</v>
      </c>
      <c r="N67" s="2" t="s">
        <v>44</v>
      </c>
      <c r="O67" s="2"/>
      <c r="P67" s="2" t="s">
        <v>25</v>
      </c>
    </row>
    <row r="68" spans="1:16" x14ac:dyDescent="0.3">
      <c r="A68" s="2">
        <v>67</v>
      </c>
      <c r="B68" s="2" t="s">
        <v>310</v>
      </c>
      <c r="C68" s="2" t="s">
        <v>311</v>
      </c>
      <c r="D68" s="2" t="s">
        <v>76</v>
      </c>
      <c r="E68" s="2" t="s">
        <v>137</v>
      </c>
      <c r="F68" s="3">
        <v>700000</v>
      </c>
      <c r="G68" s="4">
        <v>540674</v>
      </c>
      <c r="H68" s="5">
        <v>159326</v>
      </c>
      <c r="I68" s="2" t="s">
        <v>312</v>
      </c>
      <c r="J68" s="2" t="s">
        <v>286</v>
      </c>
      <c r="K68" s="2" t="s">
        <v>109</v>
      </c>
      <c r="L68" s="2">
        <v>67</v>
      </c>
      <c r="M68" s="2" t="s">
        <v>50</v>
      </c>
      <c r="N68" s="2" t="s">
        <v>51</v>
      </c>
      <c r="O68" s="2"/>
      <c r="P68" s="2" t="s">
        <v>25</v>
      </c>
    </row>
    <row r="69" spans="1:16" x14ac:dyDescent="0.3">
      <c r="A69" s="2">
        <v>68</v>
      </c>
      <c r="B69" s="2" t="s">
        <v>313</v>
      </c>
      <c r="C69" s="2" t="s">
        <v>314</v>
      </c>
      <c r="D69" s="2" t="s">
        <v>76</v>
      </c>
      <c r="E69" s="2" t="s">
        <v>142</v>
      </c>
      <c r="F69" s="3">
        <v>500000</v>
      </c>
      <c r="G69" s="4">
        <v>442675</v>
      </c>
      <c r="H69" s="5">
        <v>57325</v>
      </c>
      <c r="I69" s="2" t="s">
        <v>315</v>
      </c>
      <c r="J69" s="2" t="s">
        <v>316</v>
      </c>
      <c r="K69" s="2" t="s">
        <v>109</v>
      </c>
      <c r="L69" s="2">
        <v>68</v>
      </c>
      <c r="M69" s="2" t="s">
        <v>23</v>
      </c>
      <c r="N69" s="2" t="s">
        <v>38</v>
      </c>
      <c r="O69" s="2"/>
      <c r="P69" s="2" t="s">
        <v>25</v>
      </c>
    </row>
    <row r="70" spans="1:16" x14ac:dyDescent="0.3">
      <c r="A70" s="2">
        <v>69</v>
      </c>
      <c r="B70" s="2" t="s">
        <v>317</v>
      </c>
      <c r="C70" s="2" t="s">
        <v>318</v>
      </c>
      <c r="D70" s="2" t="s">
        <v>76</v>
      </c>
      <c r="E70" s="2" t="s">
        <v>146</v>
      </c>
      <c r="F70" s="3">
        <v>700000</v>
      </c>
      <c r="G70" s="4">
        <v>521956</v>
      </c>
      <c r="H70" s="5">
        <v>178044</v>
      </c>
      <c r="I70" s="2" t="s">
        <v>319</v>
      </c>
      <c r="J70" s="2" t="s">
        <v>320</v>
      </c>
      <c r="K70" s="2" t="s">
        <v>109</v>
      </c>
      <c r="L70" s="2">
        <v>69</v>
      </c>
      <c r="M70" s="2" t="s">
        <v>50</v>
      </c>
      <c r="N70" s="2" t="s">
        <v>81</v>
      </c>
      <c r="O70" s="2"/>
      <c r="P70" s="2" t="s">
        <v>25</v>
      </c>
    </row>
    <row r="71" spans="1:16" x14ac:dyDescent="0.3">
      <c r="A71" s="2">
        <v>70</v>
      </c>
      <c r="B71" s="2" t="s">
        <v>321</v>
      </c>
      <c r="C71" s="2" t="s">
        <v>322</v>
      </c>
      <c r="D71" s="2" t="s">
        <v>76</v>
      </c>
      <c r="E71" s="2" t="s">
        <v>151</v>
      </c>
      <c r="F71" s="3">
        <v>1500000</v>
      </c>
      <c r="G71" s="4">
        <v>1436107</v>
      </c>
      <c r="H71" s="5">
        <v>63893</v>
      </c>
      <c r="I71" s="2" t="s">
        <v>323</v>
      </c>
      <c r="J71" s="2" t="s">
        <v>252</v>
      </c>
      <c r="K71" s="2" t="s">
        <v>109</v>
      </c>
      <c r="L71" s="2">
        <v>70</v>
      </c>
      <c r="M71" s="2" t="s">
        <v>37</v>
      </c>
      <c r="N71" s="2" t="s">
        <v>81</v>
      </c>
      <c r="O71" s="2"/>
      <c r="P71" s="2" t="s">
        <v>25</v>
      </c>
    </row>
    <row r="72" spans="1:16" x14ac:dyDescent="0.3">
      <c r="A72" s="2">
        <v>71</v>
      </c>
      <c r="B72" s="2" t="s">
        <v>324</v>
      </c>
      <c r="C72" s="2" t="s">
        <v>325</v>
      </c>
      <c r="D72" s="2" t="s">
        <v>76</v>
      </c>
      <c r="E72" s="2" t="s">
        <v>156</v>
      </c>
      <c r="F72" s="3">
        <v>900000</v>
      </c>
      <c r="G72" s="4">
        <v>724276</v>
      </c>
      <c r="H72" s="5">
        <v>175724</v>
      </c>
      <c r="I72" s="2" t="s">
        <v>326</v>
      </c>
      <c r="J72" s="2" t="s">
        <v>245</v>
      </c>
      <c r="K72" s="2" t="s">
        <v>109</v>
      </c>
      <c r="L72" s="2">
        <v>71</v>
      </c>
      <c r="M72" s="2" t="s">
        <v>23</v>
      </c>
      <c r="N72" s="2" t="s">
        <v>81</v>
      </c>
      <c r="O72" s="2"/>
      <c r="P72" s="2" t="s">
        <v>25</v>
      </c>
    </row>
    <row r="73" spans="1:16" x14ac:dyDescent="0.3">
      <c r="A73" s="2">
        <v>72</v>
      </c>
      <c r="B73" s="2" t="s">
        <v>327</v>
      </c>
      <c r="C73" s="2" t="s">
        <v>328</v>
      </c>
      <c r="D73" s="2" t="s">
        <v>76</v>
      </c>
      <c r="E73" s="2" t="s">
        <v>160</v>
      </c>
      <c r="F73" s="3">
        <v>600000</v>
      </c>
      <c r="G73" s="4">
        <v>513483</v>
      </c>
      <c r="H73" s="5">
        <v>86517</v>
      </c>
      <c r="I73" s="2" t="s">
        <v>329</v>
      </c>
      <c r="J73" s="2" t="s">
        <v>290</v>
      </c>
      <c r="K73" s="2" t="s">
        <v>109</v>
      </c>
      <c r="L73" s="2">
        <v>72</v>
      </c>
      <c r="M73" s="2" t="s">
        <v>37</v>
      </c>
      <c r="N73" s="2" t="s">
        <v>81</v>
      </c>
      <c r="O73" s="2"/>
      <c r="P73" s="2" t="s">
        <v>25</v>
      </c>
    </row>
    <row r="74" spans="1:16" x14ac:dyDescent="0.3">
      <c r="A74" s="2">
        <v>73</v>
      </c>
      <c r="B74" s="2" t="s">
        <v>330</v>
      </c>
      <c r="C74" s="2" t="s">
        <v>331</v>
      </c>
      <c r="D74" s="2" t="s">
        <v>76</v>
      </c>
      <c r="E74" s="2" t="s">
        <v>165</v>
      </c>
      <c r="F74" s="3">
        <v>1200000</v>
      </c>
      <c r="G74" s="4">
        <v>1103701</v>
      </c>
      <c r="H74" s="5">
        <v>96299</v>
      </c>
      <c r="I74" s="2" t="s">
        <v>332</v>
      </c>
      <c r="J74" s="2" t="s">
        <v>21</v>
      </c>
      <c r="K74" s="2" t="s">
        <v>109</v>
      </c>
      <c r="L74" s="2">
        <v>73</v>
      </c>
      <c r="M74" s="2" t="s">
        <v>56</v>
      </c>
      <c r="N74" s="2" t="s">
        <v>44</v>
      </c>
      <c r="O74" s="2"/>
      <c r="P74" s="2" t="s">
        <v>25</v>
      </c>
    </row>
    <row r="75" spans="1:16" x14ac:dyDescent="0.3">
      <c r="A75" s="2">
        <v>74</v>
      </c>
      <c r="B75" s="2" t="s">
        <v>333</v>
      </c>
      <c r="C75" s="2" t="s">
        <v>334</v>
      </c>
      <c r="D75" s="2" t="s">
        <v>76</v>
      </c>
      <c r="E75" s="2" t="s">
        <v>170</v>
      </c>
      <c r="F75" s="3">
        <v>500000</v>
      </c>
      <c r="G75" s="4">
        <v>399947</v>
      </c>
      <c r="H75" s="5">
        <v>100053</v>
      </c>
      <c r="I75" s="2" t="s">
        <v>335</v>
      </c>
      <c r="J75" s="2" t="s">
        <v>30</v>
      </c>
      <c r="K75" s="2" t="s">
        <v>109</v>
      </c>
      <c r="L75" s="2">
        <v>74</v>
      </c>
      <c r="M75" s="2" t="s">
        <v>31</v>
      </c>
      <c r="N75" s="2" t="s">
        <v>38</v>
      </c>
      <c r="O75" s="2"/>
      <c r="P75" s="2" t="s">
        <v>25</v>
      </c>
    </row>
    <row r="76" spans="1:16" x14ac:dyDescent="0.3">
      <c r="A76" s="2">
        <v>75</v>
      </c>
      <c r="B76" s="2" t="s">
        <v>336</v>
      </c>
      <c r="C76" s="2" t="s">
        <v>337</v>
      </c>
      <c r="D76" s="2" t="s">
        <v>76</v>
      </c>
      <c r="E76" s="2" t="s">
        <v>174</v>
      </c>
      <c r="F76" s="3">
        <v>700000</v>
      </c>
      <c r="G76" s="4">
        <v>587997</v>
      </c>
      <c r="H76" s="5">
        <v>112003</v>
      </c>
      <c r="I76" s="2" t="s">
        <v>338</v>
      </c>
      <c r="J76" s="2" t="s">
        <v>339</v>
      </c>
      <c r="K76" s="2" t="s">
        <v>109</v>
      </c>
      <c r="L76" s="2">
        <v>75</v>
      </c>
      <c r="M76" s="2" t="s">
        <v>69</v>
      </c>
      <c r="N76" s="2" t="s">
        <v>38</v>
      </c>
      <c r="O76" s="2"/>
      <c r="P76" s="2" t="s">
        <v>25</v>
      </c>
    </row>
    <row r="77" spans="1:16" x14ac:dyDescent="0.3">
      <c r="A77" s="2">
        <v>76</v>
      </c>
      <c r="B77" s="2" t="s">
        <v>340</v>
      </c>
      <c r="C77" s="2" t="s">
        <v>341</v>
      </c>
      <c r="D77" s="2" t="s">
        <v>76</v>
      </c>
      <c r="E77" s="2" t="s">
        <v>106</v>
      </c>
      <c r="F77" s="3">
        <v>800000</v>
      </c>
      <c r="G77" s="4">
        <v>676913</v>
      </c>
      <c r="H77" s="5">
        <v>123087</v>
      </c>
      <c r="I77" s="2" t="s">
        <v>342</v>
      </c>
      <c r="J77" s="2" t="s">
        <v>343</v>
      </c>
      <c r="K77" s="2" t="s">
        <v>109</v>
      </c>
      <c r="L77" s="2">
        <v>76</v>
      </c>
      <c r="M77" s="2" t="s">
        <v>56</v>
      </c>
      <c r="N77" s="2" t="s">
        <v>38</v>
      </c>
      <c r="O77" s="2"/>
      <c r="P77" s="2" t="s">
        <v>25</v>
      </c>
    </row>
    <row r="78" spans="1:16" x14ac:dyDescent="0.3">
      <c r="A78" s="2">
        <v>77</v>
      </c>
      <c r="B78" s="2" t="s">
        <v>344</v>
      </c>
      <c r="C78" s="2" t="s">
        <v>345</v>
      </c>
      <c r="D78" s="2" t="s">
        <v>76</v>
      </c>
      <c r="E78" s="2" t="s">
        <v>112</v>
      </c>
      <c r="F78" s="3">
        <v>900000</v>
      </c>
      <c r="G78" s="4">
        <v>718238</v>
      </c>
      <c r="H78" s="5">
        <v>181762</v>
      </c>
      <c r="I78" s="2" t="s">
        <v>346</v>
      </c>
      <c r="J78" s="2" t="s">
        <v>125</v>
      </c>
      <c r="K78" s="2" t="s">
        <v>109</v>
      </c>
      <c r="L78" s="2">
        <v>77</v>
      </c>
      <c r="M78" s="2" t="s">
        <v>92</v>
      </c>
      <c r="N78" s="2" t="s">
        <v>32</v>
      </c>
      <c r="O78" s="2"/>
      <c r="P78" s="2" t="s">
        <v>25</v>
      </c>
    </row>
    <row r="79" spans="1:16" x14ac:dyDescent="0.3">
      <c r="A79" s="2">
        <v>78</v>
      </c>
      <c r="B79" s="2" t="s">
        <v>347</v>
      </c>
      <c r="C79" s="2" t="s">
        <v>348</v>
      </c>
      <c r="D79" s="2" t="s">
        <v>76</v>
      </c>
      <c r="E79" s="2" t="s">
        <v>118</v>
      </c>
      <c r="F79" s="3">
        <v>800000</v>
      </c>
      <c r="G79" s="4">
        <v>679282</v>
      </c>
      <c r="H79" s="5">
        <v>120718</v>
      </c>
      <c r="I79" s="2" t="s">
        <v>349</v>
      </c>
      <c r="J79" s="2" t="s">
        <v>224</v>
      </c>
      <c r="K79" s="2" t="s">
        <v>109</v>
      </c>
      <c r="L79" s="2">
        <v>78</v>
      </c>
      <c r="M79" s="2" t="s">
        <v>69</v>
      </c>
      <c r="N79" s="2" t="s">
        <v>44</v>
      </c>
      <c r="O79" s="2"/>
      <c r="P79" s="2" t="s">
        <v>25</v>
      </c>
    </row>
    <row r="80" spans="1:16" x14ac:dyDescent="0.3">
      <c r="A80" s="2">
        <v>79</v>
      </c>
      <c r="B80" s="2" t="s">
        <v>350</v>
      </c>
      <c r="C80" s="2" t="s">
        <v>351</v>
      </c>
      <c r="D80" s="2" t="s">
        <v>76</v>
      </c>
      <c r="E80" s="2" t="s">
        <v>123</v>
      </c>
      <c r="F80" s="3">
        <v>700000</v>
      </c>
      <c r="G80" s="4">
        <v>509552</v>
      </c>
      <c r="H80" s="5">
        <v>190448</v>
      </c>
      <c r="I80" s="2" t="s">
        <v>352</v>
      </c>
      <c r="J80" s="2" t="s">
        <v>339</v>
      </c>
      <c r="K80" s="2" t="s">
        <v>109</v>
      </c>
      <c r="L80" s="2">
        <v>79</v>
      </c>
      <c r="M80" s="2" t="s">
        <v>31</v>
      </c>
      <c r="N80" s="2" t="s">
        <v>32</v>
      </c>
      <c r="O80" s="2"/>
      <c r="P80" s="2" t="s">
        <v>25</v>
      </c>
    </row>
    <row r="81" spans="1:16" x14ac:dyDescent="0.3">
      <c r="A81" s="2">
        <v>80</v>
      </c>
      <c r="B81" s="2" t="s">
        <v>353</v>
      </c>
      <c r="C81" s="2" t="s">
        <v>354</v>
      </c>
      <c r="D81" s="2" t="s">
        <v>76</v>
      </c>
      <c r="E81" s="2" t="s">
        <v>128</v>
      </c>
      <c r="F81" s="3">
        <v>500000</v>
      </c>
      <c r="G81" s="4">
        <v>489375</v>
      </c>
      <c r="H81" s="5">
        <v>10625</v>
      </c>
      <c r="I81" s="2" t="s">
        <v>355</v>
      </c>
      <c r="J81" s="2" t="s">
        <v>356</v>
      </c>
      <c r="K81" s="2" t="s">
        <v>109</v>
      </c>
      <c r="L81" s="2">
        <v>80</v>
      </c>
      <c r="M81" s="2" t="s">
        <v>69</v>
      </c>
      <c r="N81" s="2" t="s">
        <v>32</v>
      </c>
      <c r="O81" s="2"/>
      <c r="P81" s="2" t="s">
        <v>25</v>
      </c>
    </row>
    <row r="82" spans="1:16" x14ac:dyDescent="0.3">
      <c r="A82" s="2">
        <v>81</v>
      </c>
      <c r="B82" s="2" t="s">
        <v>357</v>
      </c>
      <c r="C82" s="2" t="s">
        <v>358</v>
      </c>
      <c r="D82" s="2" t="s">
        <v>76</v>
      </c>
      <c r="E82" s="2" t="s">
        <v>133</v>
      </c>
      <c r="F82" s="3">
        <v>1200000</v>
      </c>
      <c r="G82" s="4">
        <v>961634</v>
      </c>
      <c r="H82" s="5">
        <v>238366</v>
      </c>
      <c r="I82" s="2" t="s">
        <v>359</v>
      </c>
      <c r="J82" s="2" t="s">
        <v>49</v>
      </c>
      <c r="K82" s="2" t="s">
        <v>109</v>
      </c>
      <c r="L82" s="2">
        <v>81</v>
      </c>
      <c r="M82" s="2" t="s">
        <v>92</v>
      </c>
      <c r="N82" s="2" t="s">
        <v>38</v>
      </c>
      <c r="O82" s="2"/>
      <c r="P82" s="2" t="s">
        <v>25</v>
      </c>
    </row>
    <row r="83" spans="1:16" x14ac:dyDescent="0.3">
      <c r="A83" s="2">
        <v>82</v>
      </c>
      <c r="B83" s="2" t="s">
        <v>360</v>
      </c>
      <c r="C83" s="2" t="s">
        <v>361</v>
      </c>
      <c r="D83" s="2" t="s">
        <v>76</v>
      </c>
      <c r="E83" s="2" t="s">
        <v>137</v>
      </c>
      <c r="F83" s="3">
        <v>900000</v>
      </c>
      <c r="G83" s="4">
        <v>800292</v>
      </c>
      <c r="H83" s="5">
        <v>99708</v>
      </c>
      <c r="I83" s="2" t="s">
        <v>362</v>
      </c>
      <c r="J83" s="2" t="s">
        <v>188</v>
      </c>
      <c r="K83" s="2" t="s">
        <v>109</v>
      </c>
      <c r="L83" s="2">
        <v>82</v>
      </c>
      <c r="M83" s="2" t="s">
        <v>50</v>
      </c>
      <c r="N83" s="2" t="s">
        <v>44</v>
      </c>
      <c r="O83" s="2"/>
      <c r="P83" s="2" t="s">
        <v>25</v>
      </c>
    </row>
    <row r="84" spans="1:16" x14ac:dyDescent="0.3">
      <c r="A84" s="2">
        <v>83</v>
      </c>
      <c r="B84" s="2" t="s">
        <v>363</v>
      </c>
      <c r="C84" s="2" t="s">
        <v>364</v>
      </c>
      <c r="D84" s="2" t="s">
        <v>76</v>
      </c>
      <c r="E84" s="2" t="s">
        <v>142</v>
      </c>
      <c r="F84" s="3">
        <v>1500000</v>
      </c>
      <c r="G84" s="4">
        <v>1118322</v>
      </c>
      <c r="H84" s="5">
        <v>381678</v>
      </c>
      <c r="I84" s="2" t="s">
        <v>365</v>
      </c>
      <c r="J84" s="2" t="s">
        <v>114</v>
      </c>
      <c r="K84" s="2" t="s">
        <v>109</v>
      </c>
      <c r="L84" s="2">
        <v>83</v>
      </c>
      <c r="M84" s="2" t="s">
        <v>69</v>
      </c>
      <c r="N84" s="2" t="s">
        <v>32</v>
      </c>
      <c r="O84" s="2"/>
      <c r="P84" s="2" t="s">
        <v>25</v>
      </c>
    </row>
    <row r="85" spans="1:16" x14ac:dyDescent="0.3">
      <c r="A85" s="2">
        <v>84</v>
      </c>
      <c r="B85" s="2" t="s">
        <v>366</v>
      </c>
      <c r="C85" s="2" t="s">
        <v>367</v>
      </c>
      <c r="D85" s="2" t="s">
        <v>76</v>
      </c>
      <c r="E85" s="2" t="s">
        <v>146</v>
      </c>
      <c r="F85" s="3">
        <v>1500000</v>
      </c>
      <c r="G85" s="4">
        <v>1382084</v>
      </c>
      <c r="H85" s="5">
        <v>117916</v>
      </c>
      <c r="I85" s="2" t="s">
        <v>368</v>
      </c>
      <c r="J85" s="2" t="s">
        <v>309</v>
      </c>
      <c r="K85" s="2" t="s">
        <v>109</v>
      </c>
      <c r="L85" s="2">
        <v>84</v>
      </c>
      <c r="M85" s="2" t="s">
        <v>92</v>
      </c>
      <c r="N85" s="2" t="s">
        <v>44</v>
      </c>
      <c r="O85" s="2"/>
      <c r="P85" s="2" t="s">
        <v>25</v>
      </c>
    </row>
    <row r="86" spans="1:16" x14ac:dyDescent="0.3">
      <c r="A86" s="2">
        <v>85</v>
      </c>
      <c r="B86" s="2" t="s">
        <v>369</v>
      </c>
      <c r="C86" s="2" t="s">
        <v>370</v>
      </c>
      <c r="D86" s="2" t="s">
        <v>76</v>
      </c>
      <c r="E86" s="2" t="s">
        <v>151</v>
      </c>
      <c r="F86" s="3">
        <v>800000</v>
      </c>
      <c r="G86" s="4">
        <v>784774</v>
      </c>
      <c r="H86" s="5">
        <v>15226</v>
      </c>
      <c r="I86" s="2" t="s">
        <v>371</v>
      </c>
      <c r="J86" s="2" t="s">
        <v>195</v>
      </c>
      <c r="K86" s="2" t="s">
        <v>109</v>
      </c>
      <c r="L86" s="2">
        <v>85</v>
      </c>
      <c r="M86" s="2" t="s">
        <v>69</v>
      </c>
      <c r="N86" s="2" t="s">
        <v>81</v>
      </c>
      <c r="O86" s="2"/>
      <c r="P86" s="2" t="s">
        <v>25</v>
      </c>
    </row>
    <row r="87" spans="1:16" x14ac:dyDescent="0.3">
      <c r="A87" s="2">
        <v>86</v>
      </c>
      <c r="B87" s="2" t="s">
        <v>372</v>
      </c>
      <c r="C87" s="2" t="s">
        <v>373</v>
      </c>
      <c r="D87" s="2" t="s">
        <v>76</v>
      </c>
      <c r="E87" s="2" t="s">
        <v>156</v>
      </c>
      <c r="F87" s="3">
        <v>800000</v>
      </c>
      <c r="G87" s="4">
        <v>680641</v>
      </c>
      <c r="H87" s="5">
        <v>119359</v>
      </c>
      <c r="I87" s="2" t="s">
        <v>374</v>
      </c>
      <c r="J87" s="2" t="s">
        <v>309</v>
      </c>
      <c r="K87" s="2" t="s">
        <v>109</v>
      </c>
      <c r="L87" s="2">
        <v>86</v>
      </c>
      <c r="M87" s="2" t="s">
        <v>31</v>
      </c>
      <c r="N87" s="2" t="s">
        <v>24</v>
      </c>
      <c r="O87" s="2"/>
      <c r="P87" s="2" t="s">
        <v>25</v>
      </c>
    </row>
    <row r="88" spans="1:16" x14ac:dyDescent="0.3">
      <c r="A88" s="2">
        <v>87</v>
      </c>
      <c r="B88" s="2" t="s">
        <v>375</v>
      </c>
      <c r="C88" s="2" t="s">
        <v>376</v>
      </c>
      <c r="D88" s="2" t="s">
        <v>76</v>
      </c>
      <c r="E88" s="2" t="s">
        <v>160</v>
      </c>
      <c r="F88" s="3">
        <v>600000</v>
      </c>
      <c r="G88" s="4">
        <v>565612</v>
      </c>
      <c r="H88" s="5">
        <v>34388</v>
      </c>
      <c r="I88" s="2" t="s">
        <v>377</v>
      </c>
      <c r="J88" s="2" t="s">
        <v>43</v>
      </c>
      <c r="K88" s="2" t="s">
        <v>109</v>
      </c>
      <c r="L88" s="2">
        <v>87</v>
      </c>
      <c r="M88" s="2" t="s">
        <v>37</v>
      </c>
      <c r="N88" s="2" t="s">
        <v>38</v>
      </c>
      <c r="O88" s="2"/>
      <c r="P88" s="2" t="s">
        <v>25</v>
      </c>
    </row>
    <row r="89" spans="1:16" x14ac:dyDescent="0.3">
      <c r="A89" s="2">
        <v>88</v>
      </c>
      <c r="B89" s="2" t="s">
        <v>378</v>
      </c>
      <c r="C89" s="2" t="s">
        <v>379</v>
      </c>
      <c r="D89" s="2" t="s">
        <v>76</v>
      </c>
      <c r="E89" s="2" t="s">
        <v>165</v>
      </c>
      <c r="F89" s="3">
        <v>900000</v>
      </c>
      <c r="G89" s="4">
        <v>651657</v>
      </c>
      <c r="H89" s="5">
        <v>248343</v>
      </c>
      <c r="I89" s="2" t="s">
        <v>380</v>
      </c>
      <c r="J89" s="2" t="s">
        <v>381</v>
      </c>
      <c r="K89" s="2" t="s">
        <v>109</v>
      </c>
      <c r="L89" s="2">
        <v>88</v>
      </c>
      <c r="M89" s="2" t="s">
        <v>56</v>
      </c>
      <c r="N89" s="2" t="s">
        <v>44</v>
      </c>
      <c r="O89" s="2"/>
      <c r="P89" s="2" t="s">
        <v>25</v>
      </c>
    </row>
    <row r="90" spans="1:16" x14ac:dyDescent="0.3">
      <c r="A90" s="2">
        <v>89</v>
      </c>
      <c r="B90" s="2" t="s">
        <v>382</v>
      </c>
      <c r="C90" s="2" t="s">
        <v>383</v>
      </c>
      <c r="D90" s="2" t="s">
        <v>76</v>
      </c>
      <c r="E90" s="2" t="s">
        <v>170</v>
      </c>
      <c r="F90" s="3">
        <v>600000</v>
      </c>
      <c r="G90" s="4">
        <v>458323</v>
      </c>
      <c r="H90" s="5">
        <v>141677</v>
      </c>
      <c r="I90" s="2" t="s">
        <v>384</v>
      </c>
      <c r="J90" s="2" t="s">
        <v>55</v>
      </c>
      <c r="K90" s="2" t="s">
        <v>109</v>
      </c>
      <c r="L90" s="2">
        <v>89</v>
      </c>
      <c r="M90" s="2" t="s">
        <v>37</v>
      </c>
      <c r="N90" s="2" t="s">
        <v>81</v>
      </c>
      <c r="O90" s="2"/>
      <c r="P90" s="2" t="s">
        <v>25</v>
      </c>
    </row>
    <row r="91" spans="1:16" x14ac:dyDescent="0.3">
      <c r="A91" s="2">
        <v>90</v>
      </c>
      <c r="B91" s="2" t="s">
        <v>385</v>
      </c>
      <c r="C91" s="2" t="s">
        <v>386</v>
      </c>
      <c r="D91" s="2" t="s">
        <v>76</v>
      </c>
      <c r="E91" s="2" t="s">
        <v>174</v>
      </c>
      <c r="F91" s="3">
        <v>1200000</v>
      </c>
      <c r="G91" s="4">
        <v>1046339</v>
      </c>
      <c r="H91" s="5">
        <v>153661</v>
      </c>
      <c r="I91" s="25">
        <v>45990</v>
      </c>
      <c r="J91" s="2" t="s">
        <v>290</v>
      </c>
      <c r="K91" s="2" t="s">
        <v>109</v>
      </c>
      <c r="L91" s="2">
        <v>90</v>
      </c>
      <c r="M91" s="2" t="s">
        <v>56</v>
      </c>
      <c r="N91" s="2" t="s">
        <v>32</v>
      </c>
      <c r="O91" s="2"/>
      <c r="P91" s="2" t="s">
        <v>25</v>
      </c>
    </row>
    <row r="92" spans="1:16" x14ac:dyDescent="0.3">
      <c r="A92" s="2">
        <v>91</v>
      </c>
      <c r="B92" s="2" t="s">
        <v>387</v>
      </c>
      <c r="C92" s="2" t="s">
        <v>388</v>
      </c>
      <c r="D92" s="2" t="s">
        <v>389</v>
      </c>
      <c r="E92" s="2" t="s">
        <v>390</v>
      </c>
      <c r="F92" s="3">
        <v>45000000</v>
      </c>
      <c r="G92" s="4">
        <v>42713901</v>
      </c>
      <c r="H92" s="5">
        <v>2286099</v>
      </c>
      <c r="I92" s="25">
        <v>45996</v>
      </c>
      <c r="J92" s="2" t="s">
        <v>232</v>
      </c>
      <c r="K92" s="2" t="s">
        <v>391</v>
      </c>
      <c r="L92" s="2">
        <v>91</v>
      </c>
      <c r="M92" s="2" t="s">
        <v>50</v>
      </c>
      <c r="N92" s="2" t="s">
        <v>32</v>
      </c>
      <c r="O92" s="2"/>
      <c r="P92" s="2" t="s">
        <v>25</v>
      </c>
    </row>
    <row r="93" spans="1:16" x14ac:dyDescent="0.3">
      <c r="A93" s="2">
        <v>92</v>
      </c>
      <c r="B93" s="2" t="s">
        <v>392</v>
      </c>
      <c r="C93" s="2" t="s">
        <v>393</v>
      </c>
      <c r="D93" s="2" t="s">
        <v>389</v>
      </c>
      <c r="E93" s="2" t="s">
        <v>394</v>
      </c>
      <c r="F93" s="3">
        <v>250000000</v>
      </c>
      <c r="G93" s="4">
        <v>240954091</v>
      </c>
      <c r="H93" s="5">
        <v>9045909</v>
      </c>
      <c r="I93" s="25">
        <v>46037</v>
      </c>
      <c r="J93" s="2" t="s">
        <v>73</v>
      </c>
      <c r="K93" s="2" t="s">
        <v>396</v>
      </c>
      <c r="L93" s="2">
        <v>92</v>
      </c>
      <c r="M93" s="2" t="s">
        <v>31</v>
      </c>
      <c r="N93" s="2" t="s">
        <v>51</v>
      </c>
      <c r="O93" s="2"/>
      <c r="P93" s="2" t="s">
        <v>25</v>
      </c>
    </row>
    <row r="94" spans="1:16" x14ac:dyDescent="0.3">
      <c r="A94" s="2">
        <v>93</v>
      </c>
      <c r="B94" s="2" t="s">
        <v>397</v>
      </c>
      <c r="C94" s="2" t="s">
        <v>398</v>
      </c>
      <c r="D94" s="2" t="s">
        <v>389</v>
      </c>
      <c r="E94" s="2" t="s">
        <v>399</v>
      </c>
      <c r="F94" s="3">
        <v>15000000</v>
      </c>
      <c r="G94" s="4">
        <v>12927404</v>
      </c>
      <c r="H94" s="5">
        <v>2072596</v>
      </c>
      <c r="I94" s="25">
        <v>46011</v>
      </c>
      <c r="J94" s="2" t="s">
        <v>130</v>
      </c>
      <c r="K94" s="2" t="s">
        <v>109</v>
      </c>
      <c r="L94" s="2">
        <v>93</v>
      </c>
      <c r="M94" s="2" t="s">
        <v>31</v>
      </c>
      <c r="N94" s="2" t="s">
        <v>81</v>
      </c>
      <c r="O94" s="2"/>
      <c r="P94" s="2" t="s">
        <v>25</v>
      </c>
    </row>
    <row r="95" spans="1:16" x14ac:dyDescent="0.3">
      <c r="A95" s="2">
        <v>94</v>
      </c>
      <c r="B95" s="2" t="s">
        <v>400</v>
      </c>
      <c r="C95" s="2" t="s">
        <v>401</v>
      </c>
      <c r="D95" s="2" t="s">
        <v>389</v>
      </c>
      <c r="E95" s="2" t="s">
        <v>402</v>
      </c>
      <c r="F95" s="3">
        <v>35000000</v>
      </c>
      <c r="G95" s="4">
        <v>30244831</v>
      </c>
      <c r="H95" s="5">
        <v>4755169</v>
      </c>
      <c r="I95" s="25">
        <v>46042</v>
      </c>
      <c r="J95" s="2" t="s">
        <v>176</v>
      </c>
      <c r="K95" s="2" t="s">
        <v>80</v>
      </c>
      <c r="L95" s="2">
        <v>94</v>
      </c>
      <c r="M95" s="2" t="s">
        <v>23</v>
      </c>
      <c r="N95" s="2" t="s">
        <v>44</v>
      </c>
      <c r="O95" s="2"/>
      <c r="P95" s="2" t="s">
        <v>25</v>
      </c>
    </row>
    <row r="96" spans="1:16" x14ac:dyDescent="0.3">
      <c r="A96" s="2">
        <v>95</v>
      </c>
      <c r="B96" s="2" t="s">
        <v>404</v>
      </c>
      <c r="C96" s="2" t="s">
        <v>405</v>
      </c>
      <c r="D96" s="2" t="s">
        <v>389</v>
      </c>
      <c r="E96" s="2" t="s">
        <v>406</v>
      </c>
      <c r="F96" s="3">
        <v>18000000</v>
      </c>
      <c r="G96" s="4">
        <v>17181070</v>
      </c>
      <c r="H96" s="5">
        <v>818930</v>
      </c>
      <c r="I96" s="25">
        <v>46047</v>
      </c>
      <c r="J96" s="2" t="s">
        <v>407</v>
      </c>
      <c r="K96" s="2" t="s">
        <v>408</v>
      </c>
      <c r="L96" s="2">
        <v>95</v>
      </c>
      <c r="M96" s="2" t="s">
        <v>69</v>
      </c>
      <c r="N96" s="2" t="s">
        <v>24</v>
      </c>
      <c r="O96" s="2"/>
      <c r="P96" s="2" t="s">
        <v>25</v>
      </c>
    </row>
    <row r="97" spans="1:16" x14ac:dyDescent="0.3">
      <c r="A97" s="2">
        <v>96</v>
      </c>
      <c r="B97" s="2" t="s">
        <v>409</v>
      </c>
      <c r="C97" s="2" t="s">
        <v>410</v>
      </c>
      <c r="D97" s="2" t="s">
        <v>389</v>
      </c>
      <c r="E97" s="2" t="s">
        <v>411</v>
      </c>
      <c r="F97" s="3">
        <v>42000000</v>
      </c>
      <c r="G97" s="4">
        <v>34681088</v>
      </c>
      <c r="H97" s="5">
        <v>7318912</v>
      </c>
      <c r="I97" s="25">
        <v>46054</v>
      </c>
      <c r="J97" s="2" t="s">
        <v>395</v>
      </c>
      <c r="K97" s="2" t="s">
        <v>412</v>
      </c>
      <c r="L97" s="2">
        <v>96</v>
      </c>
      <c r="M97" s="2" t="s">
        <v>23</v>
      </c>
      <c r="N97" s="2" t="s">
        <v>51</v>
      </c>
      <c r="O97" s="2"/>
      <c r="P97" s="2" t="s">
        <v>25</v>
      </c>
    </row>
    <row r="98" spans="1:16" x14ac:dyDescent="0.3">
      <c r="A98" s="2">
        <v>97</v>
      </c>
      <c r="B98" s="2" t="s">
        <v>413</v>
      </c>
      <c r="C98" s="2" t="s">
        <v>393</v>
      </c>
      <c r="D98" s="2" t="s">
        <v>389</v>
      </c>
      <c r="E98" s="2" t="s">
        <v>414</v>
      </c>
      <c r="F98" s="3">
        <v>55000000</v>
      </c>
      <c r="G98" s="4">
        <v>49785783</v>
      </c>
      <c r="H98" s="5">
        <v>5214217</v>
      </c>
      <c r="I98" s="25">
        <v>46058</v>
      </c>
      <c r="J98" s="2" t="s">
        <v>343</v>
      </c>
      <c r="K98" s="2" t="s">
        <v>396</v>
      </c>
      <c r="L98" s="2">
        <v>97</v>
      </c>
      <c r="M98" s="2" t="s">
        <v>56</v>
      </c>
      <c r="N98" s="2" t="s">
        <v>24</v>
      </c>
      <c r="O98" s="2"/>
      <c r="P98" s="2" t="s">
        <v>25</v>
      </c>
    </row>
    <row r="99" spans="1:16" x14ac:dyDescent="0.3">
      <c r="A99" s="2">
        <v>98</v>
      </c>
      <c r="B99" s="2" t="s">
        <v>415</v>
      </c>
      <c r="C99" s="2" t="s">
        <v>416</v>
      </c>
      <c r="D99" s="2" t="s">
        <v>389</v>
      </c>
      <c r="E99" s="2" t="s">
        <v>417</v>
      </c>
      <c r="F99" s="3">
        <v>120000000</v>
      </c>
      <c r="G99" s="4">
        <v>119989008</v>
      </c>
      <c r="H99" s="5">
        <v>10992</v>
      </c>
      <c r="I99" s="25">
        <v>46063</v>
      </c>
      <c r="J99" s="2" t="s">
        <v>203</v>
      </c>
      <c r="K99" s="2" t="s">
        <v>418</v>
      </c>
      <c r="L99" s="2">
        <v>98</v>
      </c>
      <c r="M99" s="2" t="s">
        <v>115</v>
      </c>
      <c r="N99" s="2" t="s">
        <v>98</v>
      </c>
      <c r="O99" s="2"/>
      <c r="P99" s="2" t="s">
        <v>25</v>
      </c>
    </row>
    <row r="100" spans="1:16" x14ac:dyDescent="0.3">
      <c r="A100" s="2">
        <v>99</v>
      </c>
      <c r="B100" s="2" t="s">
        <v>419</v>
      </c>
      <c r="C100" s="2" t="s">
        <v>401</v>
      </c>
      <c r="D100" s="2" t="s">
        <v>389</v>
      </c>
      <c r="E100" s="2" t="s">
        <v>420</v>
      </c>
      <c r="F100" s="3">
        <v>28000000</v>
      </c>
      <c r="G100" s="4">
        <v>27451818</v>
      </c>
      <c r="H100" s="5">
        <v>548182</v>
      </c>
      <c r="I100" s="25">
        <v>45976</v>
      </c>
      <c r="J100" s="2" t="s">
        <v>421</v>
      </c>
      <c r="K100" s="2" t="s">
        <v>80</v>
      </c>
      <c r="L100" s="2">
        <v>99</v>
      </c>
      <c r="M100" s="2" t="s">
        <v>50</v>
      </c>
      <c r="N100" s="2" t="s">
        <v>51</v>
      </c>
      <c r="O100" s="2"/>
      <c r="P100" s="2" t="s">
        <v>25</v>
      </c>
    </row>
    <row r="101" spans="1:16" x14ac:dyDescent="0.3">
      <c r="A101" s="2">
        <v>100</v>
      </c>
      <c r="B101" s="2" t="s">
        <v>422</v>
      </c>
      <c r="C101" s="2" t="s">
        <v>423</v>
      </c>
      <c r="D101" s="2" t="s">
        <v>389</v>
      </c>
      <c r="E101" s="2" t="s">
        <v>424</v>
      </c>
      <c r="F101" s="3">
        <v>75000000</v>
      </c>
      <c r="G101" s="4">
        <v>72261153</v>
      </c>
      <c r="H101" s="5">
        <v>2738847</v>
      </c>
      <c r="I101" s="25">
        <v>46073</v>
      </c>
      <c r="J101" s="2" t="s">
        <v>425</v>
      </c>
      <c r="K101" s="2" t="s">
        <v>412</v>
      </c>
      <c r="L101" s="2">
        <v>100</v>
      </c>
      <c r="M101" s="2" t="s">
        <v>50</v>
      </c>
      <c r="N101" s="2" t="s">
        <v>93</v>
      </c>
      <c r="O101" s="2"/>
      <c r="P101" s="2" t="s">
        <v>25</v>
      </c>
    </row>
    <row r="102" spans="1:16" x14ac:dyDescent="0.3">
      <c r="A102" s="2">
        <v>101</v>
      </c>
      <c r="B102" s="2" t="s">
        <v>426</v>
      </c>
      <c r="C102" s="2" t="s">
        <v>405</v>
      </c>
      <c r="D102" s="2" t="s">
        <v>389</v>
      </c>
      <c r="E102" s="2" t="s">
        <v>427</v>
      </c>
      <c r="F102" s="3">
        <v>32000000</v>
      </c>
      <c r="G102" s="4">
        <v>31812249</v>
      </c>
      <c r="H102" s="5">
        <v>187751</v>
      </c>
      <c r="I102" s="25">
        <v>45986</v>
      </c>
      <c r="J102" s="2" t="s">
        <v>294</v>
      </c>
      <c r="K102" s="2" t="s">
        <v>408</v>
      </c>
      <c r="L102" s="2">
        <v>101</v>
      </c>
      <c r="M102" s="2" t="s">
        <v>37</v>
      </c>
      <c r="N102" s="2" t="s">
        <v>81</v>
      </c>
      <c r="O102" s="2"/>
      <c r="P102" s="2" t="s">
        <v>25</v>
      </c>
    </row>
    <row r="103" spans="1:16" x14ac:dyDescent="0.3">
      <c r="A103" s="2">
        <v>102</v>
      </c>
      <c r="B103" s="2" t="s">
        <v>429</v>
      </c>
      <c r="C103" s="2" t="s">
        <v>430</v>
      </c>
      <c r="D103" s="2" t="s">
        <v>389</v>
      </c>
      <c r="E103" s="2" t="s">
        <v>431</v>
      </c>
      <c r="F103" s="3">
        <v>90000000</v>
      </c>
      <c r="G103" s="4">
        <v>67324505</v>
      </c>
      <c r="H103" s="5">
        <v>22675495</v>
      </c>
      <c r="I103" s="25">
        <v>46082</v>
      </c>
      <c r="J103" s="2" t="s">
        <v>180</v>
      </c>
      <c r="K103" s="2" t="s">
        <v>396</v>
      </c>
      <c r="L103" s="2">
        <v>102</v>
      </c>
      <c r="M103" s="2" t="s">
        <v>69</v>
      </c>
      <c r="N103" s="2" t="s">
        <v>38</v>
      </c>
      <c r="O103" s="2"/>
      <c r="P103" s="2" t="s">
        <v>25</v>
      </c>
    </row>
    <row r="104" spans="1:16" x14ac:dyDescent="0.3">
      <c r="A104" s="2">
        <v>103</v>
      </c>
      <c r="B104" s="2" t="s">
        <v>432</v>
      </c>
      <c r="C104" s="2" t="s">
        <v>433</v>
      </c>
      <c r="D104" s="2" t="s">
        <v>389</v>
      </c>
      <c r="E104" s="2" t="s">
        <v>434</v>
      </c>
      <c r="F104" s="3">
        <v>0</v>
      </c>
      <c r="G104" s="4">
        <v>0</v>
      </c>
      <c r="H104" s="5">
        <v>0</v>
      </c>
      <c r="I104" s="25">
        <v>46086</v>
      </c>
      <c r="J104" s="2" t="s">
        <v>436</v>
      </c>
      <c r="K104" s="2" t="s">
        <v>437</v>
      </c>
      <c r="L104" s="2">
        <v>103</v>
      </c>
      <c r="M104" s="2" t="s">
        <v>31</v>
      </c>
      <c r="N104" s="2" t="s">
        <v>32</v>
      </c>
      <c r="O104" s="2"/>
      <c r="P104" s="2" t="s">
        <v>25</v>
      </c>
    </row>
    <row r="105" spans="1:16" x14ac:dyDescent="0.3">
      <c r="A105" s="2">
        <v>104</v>
      </c>
      <c r="B105" s="2" t="s">
        <v>438</v>
      </c>
      <c r="C105" s="2" t="s">
        <v>439</v>
      </c>
      <c r="D105" s="2" t="s">
        <v>389</v>
      </c>
      <c r="E105" s="2" t="s">
        <v>440</v>
      </c>
      <c r="F105" s="3">
        <v>45000000</v>
      </c>
      <c r="G105" s="4">
        <v>31963236</v>
      </c>
      <c r="H105" s="5">
        <v>13036764</v>
      </c>
      <c r="I105" s="25">
        <v>46091</v>
      </c>
      <c r="J105" s="2" t="s">
        <v>167</v>
      </c>
      <c r="K105" s="2" t="s">
        <v>80</v>
      </c>
      <c r="L105" s="2">
        <v>104</v>
      </c>
      <c r="M105" s="2" t="s">
        <v>50</v>
      </c>
      <c r="N105" s="2" t="s">
        <v>32</v>
      </c>
      <c r="O105" s="2"/>
      <c r="P105" s="2" t="s">
        <v>25</v>
      </c>
    </row>
    <row r="106" spans="1:16" x14ac:dyDescent="0.3">
      <c r="A106" s="2">
        <v>105</v>
      </c>
      <c r="B106" s="2" t="s">
        <v>442</v>
      </c>
      <c r="C106" s="2" t="s">
        <v>443</v>
      </c>
      <c r="D106" s="2" t="s">
        <v>389</v>
      </c>
      <c r="E106" s="2" t="s">
        <v>444</v>
      </c>
      <c r="F106" s="3">
        <v>8500000</v>
      </c>
      <c r="G106" s="4">
        <v>6860451</v>
      </c>
      <c r="H106" s="5">
        <v>1639549</v>
      </c>
      <c r="I106" s="25">
        <v>46093</v>
      </c>
      <c r="J106" s="2" t="s">
        <v>309</v>
      </c>
      <c r="K106" s="2" t="s">
        <v>446</v>
      </c>
      <c r="L106" s="2">
        <v>105</v>
      </c>
      <c r="M106" s="2" t="s">
        <v>50</v>
      </c>
      <c r="N106" s="2" t="s">
        <v>51</v>
      </c>
      <c r="O106" s="2"/>
      <c r="P106" s="2" t="s">
        <v>25</v>
      </c>
    </row>
    <row r="107" spans="1:16" x14ac:dyDescent="0.3">
      <c r="A107" s="2">
        <v>106</v>
      </c>
      <c r="B107" s="2" t="s">
        <v>447</v>
      </c>
      <c r="C107" s="2" t="s">
        <v>448</v>
      </c>
      <c r="D107" s="2" t="s">
        <v>389</v>
      </c>
      <c r="E107" s="2" t="s">
        <v>449</v>
      </c>
      <c r="F107" s="3">
        <v>22000000</v>
      </c>
      <c r="G107" s="4">
        <v>15424977</v>
      </c>
      <c r="H107" s="5">
        <v>6575023</v>
      </c>
      <c r="I107" s="25">
        <v>46096</v>
      </c>
      <c r="J107" s="2" t="s">
        <v>451</v>
      </c>
      <c r="K107" s="2" t="s">
        <v>452</v>
      </c>
      <c r="L107" s="2">
        <v>106</v>
      </c>
      <c r="M107" s="2" t="s">
        <v>23</v>
      </c>
      <c r="N107" s="2" t="s">
        <v>98</v>
      </c>
      <c r="O107" s="2"/>
      <c r="P107" s="2" t="s">
        <v>25</v>
      </c>
    </row>
    <row r="108" spans="1:16" x14ac:dyDescent="0.3">
      <c r="A108" s="2">
        <v>107</v>
      </c>
      <c r="B108" s="2" t="s">
        <v>453</v>
      </c>
      <c r="C108" s="2" t="s">
        <v>454</v>
      </c>
      <c r="D108" s="2" t="s">
        <v>389</v>
      </c>
      <c r="E108" s="2" t="s">
        <v>455</v>
      </c>
      <c r="F108" s="3">
        <v>12000000</v>
      </c>
      <c r="G108" s="4">
        <v>10209180</v>
      </c>
      <c r="H108" s="5">
        <v>1790820</v>
      </c>
      <c r="I108" s="25">
        <v>46099</v>
      </c>
      <c r="J108" s="2" t="s">
        <v>457</v>
      </c>
      <c r="K108" s="2" t="s">
        <v>109</v>
      </c>
      <c r="L108" s="2">
        <v>107</v>
      </c>
      <c r="M108" s="2" t="s">
        <v>56</v>
      </c>
      <c r="N108" s="2" t="s">
        <v>44</v>
      </c>
      <c r="O108" s="2"/>
      <c r="P108" s="2" t="s">
        <v>25</v>
      </c>
    </row>
    <row r="109" spans="1:16" x14ac:dyDescent="0.3">
      <c r="A109" s="2">
        <v>108</v>
      </c>
      <c r="B109" s="2" t="s">
        <v>458</v>
      </c>
      <c r="C109" s="2" t="s">
        <v>459</v>
      </c>
      <c r="D109" s="2" t="s">
        <v>389</v>
      </c>
      <c r="E109" s="2" t="s">
        <v>460</v>
      </c>
      <c r="F109" s="3">
        <v>8000000</v>
      </c>
      <c r="G109" s="4">
        <v>5788284</v>
      </c>
      <c r="H109" s="5">
        <v>2211716</v>
      </c>
      <c r="I109" s="2" t="s">
        <v>461</v>
      </c>
      <c r="J109" s="2" t="s">
        <v>428</v>
      </c>
      <c r="K109" s="2" t="s">
        <v>80</v>
      </c>
      <c r="L109" s="2">
        <v>108</v>
      </c>
      <c r="M109" s="2" t="s">
        <v>37</v>
      </c>
      <c r="N109" s="2" t="s">
        <v>44</v>
      </c>
      <c r="O109" s="2"/>
      <c r="P109" s="2" t="s">
        <v>25</v>
      </c>
    </row>
    <row r="110" spans="1:16" x14ac:dyDescent="0.3">
      <c r="A110" s="2">
        <v>109</v>
      </c>
      <c r="B110" s="2" t="s">
        <v>462</v>
      </c>
      <c r="C110" s="2" t="s">
        <v>463</v>
      </c>
      <c r="D110" s="2" t="s">
        <v>389</v>
      </c>
      <c r="E110" s="2" t="s">
        <v>464</v>
      </c>
      <c r="F110" s="3">
        <v>3500000</v>
      </c>
      <c r="G110" s="4">
        <v>3484361</v>
      </c>
      <c r="H110" s="5">
        <v>15639</v>
      </c>
      <c r="I110" s="2" t="s">
        <v>465</v>
      </c>
      <c r="J110" s="2" t="s">
        <v>245</v>
      </c>
      <c r="K110" s="2" t="s">
        <v>80</v>
      </c>
      <c r="L110" s="2">
        <v>109</v>
      </c>
      <c r="M110" s="2" t="s">
        <v>56</v>
      </c>
      <c r="N110" s="2" t="s">
        <v>38</v>
      </c>
      <c r="O110" s="2"/>
      <c r="P110" s="2" t="s">
        <v>25</v>
      </c>
    </row>
    <row r="111" spans="1:16" x14ac:dyDescent="0.3">
      <c r="A111" s="2">
        <v>110</v>
      </c>
      <c r="B111" s="2" t="s">
        <v>466</v>
      </c>
      <c r="C111" s="2" t="s">
        <v>467</v>
      </c>
      <c r="D111" s="2" t="s">
        <v>468</v>
      </c>
      <c r="E111" s="2" t="s">
        <v>469</v>
      </c>
      <c r="F111" s="3">
        <v>500000</v>
      </c>
      <c r="G111" s="4">
        <v>352262</v>
      </c>
      <c r="H111" s="5">
        <v>147738</v>
      </c>
      <c r="I111" s="2" t="s">
        <v>176</v>
      </c>
      <c r="J111" s="2" t="s">
        <v>271</v>
      </c>
      <c r="K111" s="2" t="s">
        <v>80</v>
      </c>
      <c r="L111" s="2">
        <v>110</v>
      </c>
      <c r="M111" s="2" t="s">
        <v>69</v>
      </c>
      <c r="N111" s="2" t="s">
        <v>98</v>
      </c>
      <c r="O111" s="2"/>
      <c r="P111" s="2" t="s">
        <v>25</v>
      </c>
    </row>
    <row r="112" spans="1:16" x14ac:dyDescent="0.3">
      <c r="A112" s="2">
        <v>111</v>
      </c>
      <c r="B112" s="2" t="s">
        <v>470</v>
      </c>
      <c r="C112" s="2" t="s">
        <v>471</v>
      </c>
      <c r="D112" s="2" t="s">
        <v>468</v>
      </c>
      <c r="E112" s="2" t="s">
        <v>469</v>
      </c>
      <c r="F112" s="3">
        <v>700000</v>
      </c>
      <c r="G112" s="4">
        <v>618663</v>
      </c>
      <c r="H112" s="5">
        <v>81337</v>
      </c>
      <c r="I112" s="2" t="s">
        <v>407</v>
      </c>
      <c r="J112" s="2" t="s">
        <v>428</v>
      </c>
      <c r="K112" s="2" t="s">
        <v>80</v>
      </c>
      <c r="L112" s="2">
        <v>111</v>
      </c>
      <c r="M112" s="2" t="s">
        <v>50</v>
      </c>
      <c r="N112" s="2" t="s">
        <v>24</v>
      </c>
      <c r="O112" s="2"/>
      <c r="P112" s="2" t="s">
        <v>25</v>
      </c>
    </row>
    <row r="113" spans="1:16" x14ac:dyDescent="0.3">
      <c r="A113" s="2">
        <v>112</v>
      </c>
      <c r="B113" s="2" t="s">
        <v>472</v>
      </c>
      <c r="C113" s="2" t="s">
        <v>473</v>
      </c>
      <c r="D113" s="2" t="s">
        <v>468</v>
      </c>
      <c r="E113" s="2" t="s">
        <v>469</v>
      </c>
      <c r="F113" s="3">
        <v>2000000</v>
      </c>
      <c r="G113" s="4">
        <v>1541477</v>
      </c>
      <c r="H113" s="5">
        <v>458523</v>
      </c>
      <c r="I113" s="2" t="s">
        <v>436</v>
      </c>
      <c r="J113" s="2" t="s">
        <v>474</v>
      </c>
      <c r="K113" s="2" t="s">
        <v>80</v>
      </c>
      <c r="L113" s="2">
        <v>112</v>
      </c>
      <c r="M113" s="2" t="s">
        <v>23</v>
      </c>
      <c r="N113" s="2" t="s">
        <v>51</v>
      </c>
      <c r="O113" s="2"/>
      <c r="P113" s="2" t="s">
        <v>25</v>
      </c>
    </row>
    <row r="114" spans="1:16" x14ac:dyDescent="0.3">
      <c r="A114" s="2">
        <v>113</v>
      </c>
      <c r="B114" s="2" t="s">
        <v>475</v>
      </c>
      <c r="C114" s="2" t="s">
        <v>476</v>
      </c>
      <c r="D114" s="2" t="s">
        <v>468</v>
      </c>
      <c r="E114" s="2" t="s">
        <v>469</v>
      </c>
      <c r="F114" s="3">
        <v>700000</v>
      </c>
      <c r="G114" s="4">
        <v>670515</v>
      </c>
      <c r="H114" s="5">
        <v>29485</v>
      </c>
      <c r="I114" s="2" t="s">
        <v>279</v>
      </c>
      <c r="J114" s="2" t="s">
        <v>108</v>
      </c>
      <c r="K114" s="2" t="s">
        <v>80</v>
      </c>
      <c r="L114" s="2">
        <v>113</v>
      </c>
      <c r="M114" s="2" t="s">
        <v>50</v>
      </c>
      <c r="N114" s="2" t="s">
        <v>44</v>
      </c>
      <c r="O114" s="2"/>
      <c r="P114" s="2" t="s">
        <v>25</v>
      </c>
    </row>
    <row r="115" spans="1:16" x14ac:dyDescent="0.3">
      <c r="A115" s="2">
        <v>114</v>
      </c>
      <c r="B115" s="2" t="s">
        <v>477</v>
      </c>
      <c r="C115" s="2" t="s">
        <v>478</v>
      </c>
      <c r="D115" s="2" t="s">
        <v>468</v>
      </c>
      <c r="E115" s="2" t="s">
        <v>469</v>
      </c>
      <c r="F115" s="3">
        <v>8000000</v>
      </c>
      <c r="G115" s="4">
        <v>7141150</v>
      </c>
      <c r="H115" s="5">
        <v>858850</v>
      </c>
      <c r="I115" s="2" t="s">
        <v>213</v>
      </c>
      <c r="J115" s="2" t="s">
        <v>188</v>
      </c>
      <c r="K115" s="2" t="s">
        <v>80</v>
      </c>
      <c r="L115" s="2">
        <v>114</v>
      </c>
      <c r="M115" s="2" t="s">
        <v>56</v>
      </c>
      <c r="N115" s="2" t="s">
        <v>24</v>
      </c>
      <c r="O115" s="2"/>
      <c r="P115" s="2" t="s">
        <v>25</v>
      </c>
    </row>
    <row r="116" spans="1:16" x14ac:dyDescent="0.3">
      <c r="A116" s="2">
        <v>115</v>
      </c>
      <c r="B116" s="2" t="s">
        <v>479</v>
      </c>
      <c r="C116" s="2" t="s">
        <v>480</v>
      </c>
      <c r="D116" s="2" t="s">
        <v>468</v>
      </c>
      <c r="E116" s="2" t="s">
        <v>469</v>
      </c>
      <c r="F116" s="3">
        <v>700000</v>
      </c>
      <c r="G116" s="4">
        <v>618411</v>
      </c>
      <c r="H116" s="5">
        <v>81589</v>
      </c>
      <c r="I116" s="2" t="s">
        <v>481</v>
      </c>
      <c r="J116" s="2" t="s">
        <v>381</v>
      </c>
      <c r="K116" s="2" t="s">
        <v>80</v>
      </c>
      <c r="L116" s="2">
        <v>115</v>
      </c>
      <c r="M116" s="2" t="s">
        <v>92</v>
      </c>
      <c r="N116" s="2" t="s">
        <v>93</v>
      </c>
      <c r="O116" s="2"/>
      <c r="P116" s="2" t="s">
        <v>25</v>
      </c>
    </row>
    <row r="117" spans="1:16" x14ac:dyDescent="0.3">
      <c r="A117" s="2">
        <v>116</v>
      </c>
      <c r="B117" s="2" t="s">
        <v>482</v>
      </c>
      <c r="C117" s="2" t="s">
        <v>483</v>
      </c>
      <c r="D117" s="2" t="s">
        <v>468</v>
      </c>
      <c r="E117" s="2" t="s">
        <v>469</v>
      </c>
      <c r="F117" s="3">
        <v>5000000</v>
      </c>
      <c r="G117" s="4">
        <v>3721423</v>
      </c>
      <c r="H117" s="5">
        <v>1278577</v>
      </c>
      <c r="I117" s="2" t="s">
        <v>484</v>
      </c>
      <c r="J117" s="2" t="s">
        <v>130</v>
      </c>
      <c r="K117" s="2" t="s">
        <v>80</v>
      </c>
      <c r="L117" s="2">
        <v>116</v>
      </c>
      <c r="M117" s="2" t="s">
        <v>115</v>
      </c>
      <c r="N117" s="2" t="s">
        <v>51</v>
      </c>
      <c r="O117" s="2"/>
      <c r="P117" s="2" t="s">
        <v>25</v>
      </c>
    </row>
    <row r="118" spans="1:16" x14ac:dyDescent="0.3">
      <c r="A118" s="2">
        <v>117</v>
      </c>
      <c r="B118" s="2" t="s">
        <v>485</v>
      </c>
      <c r="C118" s="2" t="s">
        <v>486</v>
      </c>
      <c r="D118" s="2" t="s">
        <v>468</v>
      </c>
      <c r="E118" s="2" t="s">
        <v>469</v>
      </c>
      <c r="F118" s="3">
        <v>12000000</v>
      </c>
      <c r="G118" s="4">
        <v>11207700</v>
      </c>
      <c r="H118" s="5">
        <v>792300</v>
      </c>
      <c r="I118" s="2" t="s">
        <v>49</v>
      </c>
      <c r="J118" s="2" t="s">
        <v>176</v>
      </c>
      <c r="K118" s="2" t="s">
        <v>80</v>
      </c>
      <c r="L118" s="2">
        <v>117</v>
      </c>
      <c r="M118" s="2" t="s">
        <v>56</v>
      </c>
      <c r="N118" s="2" t="s">
        <v>38</v>
      </c>
      <c r="O118" s="2"/>
      <c r="P118" s="2" t="s">
        <v>25</v>
      </c>
    </row>
    <row r="119" spans="1:16" x14ac:dyDescent="0.3">
      <c r="A119" s="2">
        <v>118</v>
      </c>
      <c r="B119" s="2" t="s">
        <v>487</v>
      </c>
      <c r="C119" s="2" t="s">
        <v>488</v>
      </c>
      <c r="D119" s="2" t="s">
        <v>468</v>
      </c>
      <c r="E119" s="2" t="s">
        <v>469</v>
      </c>
      <c r="F119" s="3">
        <v>8000000</v>
      </c>
      <c r="G119" s="4">
        <v>7481218</v>
      </c>
      <c r="H119" s="5">
        <v>518782</v>
      </c>
      <c r="I119" s="2" t="s">
        <v>489</v>
      </c>
      <c r="J119" s="2" t="s">
        <v>213</v>
      </c>
      <c r="K119" s="2" t="s">
        <v>80</v>
      </c>
      <c r="L119" s="2">
        <v>118</v>
      </c>
      <c r="M119" s="2" t="s">
        <v>37</v>
      </c>
      <c r="N119" s="2" t="s">
        <v>44</v>
      </c>
      <c r="O119" s="2"/>
      <c r="P119" s="2" t="s">
        <v>25</v>
      </c>
    </row>
    <row r="120" spans="1:16" x14ac:dyDescent="0.3">
      <c r="A120" s="2">
        <v>119</v>
      </c>
      <c r="B120" s="2" t="s">
        <v>490</v>
      </c>
      <c r="C120" s="2" t="s">
        <v>491</v>
      </c>
      <c r="D120" s="2" t="s">
        <v>468</v>
      </c>
      <c r="E120" s="2" t="s">
        <v>469</v>
      </c>
      <c r="F120" s="3">
        <v>12000000</v>
      </c>
      <c r="G120" s="4">
        <v>10699006</v>
      </c>
      <c r="H120" s="5">
        <v>1300994</v>
      </c>
      <c r="I120" s="2" t="s">
        <v>451</v>
      </c>
      <c r="J120" s="2" t="s">
        <v>43</v>
      </c>
      <c r="K120" s="2" t="s">
        <v>80</v>
      </c>
      <c r="L120" s="2">
        <v>119</v>
      </c>
      <c r="M120" s="2" t="s">
        <v>92</v>
      </c>
      <c r="N120" s="2" t="s">
        <v>51</v>
      </c>
      <c r="O120" s="2"/>
      <c r="P120" s="2" t="s">
        <v>25</v>
      </c>
    </row>
    <row r="121" spans="1:16" x14ac:dyDescent="0.3">
      <c r="A121" s="2">
        <v>120</v>
      </c>
      <c r="B121" s="2" t="s">
        <v>492</v>
      </c>
      <c r="C121" s="2" t="s">
        <v>493</v>
      </c>
      <c r="D121" s="2" t="s">
        <v>468</v>
      </c>
      <c r="E121" s="2" t="s">
        <v>469</v>
      </c>
      <c r="F121" s="3">
        <v>800000</v>
      </c>
      <c r="G121" s="4">
        <v>788234</v>
      </c>
      <c r="H121" s="5">
        <v>11766</v>
      </c>
      <c r="I121" s="2" t="s">
        <v>68</v>
      </c>
      <c r="J121" s="2" t="s">
        <v>494</v>
      </c>
      <c r="K121" s="2" t="s">
        <v>80</v>
      </c>
      <c r="L121" s="2">
        <v>120</v>
      </c>
      <c r="M121" s="2" t="s">
        <v>92</v>
      </c>
      <c r="N121" s="2" t="s">
        <v>32</v>
      </c>
      <c r="O121" s="2"/>
      <c r="P121" s="2" t="s">
        <v>25</v>
      </c>
    </row>
    <row r="122" spans="1:16" x14ac:dyDescent="0.3">
      <c r="A122" s="2">
        <v>121</v>
      </c>
      <c r="B122" s="2" t="s">
        <v>495</v>
      </c>
      <c r="C122" s="2" t="s">
        <v>496</v>
      </c>
      <c r="D122" s="2" t="s">
        <v>468</v>
      </c>
      <c r="E122" s="2" t="s">
        <v>469</v>
      </c>
      <c r="F122" s="3">
        <v>800000</v>
      </c>
      <c r="G122" s="4">
        <v>670640</v>
      </c>
      <c r="H122" s="5">
        <v>129360</v>
      </c>
      <c r="I122" s="2" t="s">
        <v>497</v>
      </c>
      <c r="J122" s="2" t="s">
        <v>139</v>
      </c>
      <c r="K122" s="2" t="s">
        <v>80</v>
      </c>
      <c r="L122" s="2">
        <v>121</v>
      </c>
      <c r="M122" s="2" t="s">
        <v>92</v>
      </c>
      <c r="N122" s="2" t="s">
        <v>32</v>
      </c>
      <c r="O122" s="2"/>
      <c r="P122" s="2" t="s">
        <v>25</v>
      </c>
    </row>
    <row r="123" spans="1:16" x14ac:dyDescent="0.3">
      <c r="A123" s="2">
        <v>122</v>
      </c>
      <c r="B123" s="2" t="s">
        <v>498</v>
      </c>
      <c r="C123" s="2" t="s">
        <v>499</v>
      </c>
      <c r="D123" s="2" t="s">
        <v>468</v>
      </c>
      <c r="E123" s="2" t="s">
        <v>469</v>
      </c>
      <c r="F123" s="3">
        <v>5000000</v>
      </c>
      <c r="G123" s="4">
        <v>4797284</v>
      </c>
      <c r="H123" s="5">
        <v>202716</v>
      </c>
      <c r="I123" s="2" t="s">
        <v>500</v>
      </c>
      <c r="J123" s="2" t="s">
        <v>320</v>
      </c>
      <c r="K123" s="2" t="s">
        <v>80</v>
      </c>
      <c r="L123" s="2">
        <v>122</v>
      </c>
      <c r="M123" s="2" t="s">
        <v>31</v>
      </c>
      <c r="N123" s="2" t="s">
        <v>51</v>
      </c>
      <c r="O123" s="2"/>
      <c r="P123" s="2" t="s">
        <v>25</v>
      </c>
    </row>
    <row r="124" spans="1:16" x14ac:dyDescent="0.3">
      <c r="A124" s="2">
        <v>123</v>
      </c>
      <c r="B124" s="2" t="s">
        <v>501</v>
      </c>
      <c r="C124" s="2" t="s">
        <v>502</v>
      </c>
      <c r="D124" s="2" t="s">
        <v>468</v>
      </c>
      <c r="E124" s="2" t="s">
        <v>469</v>
      </c>
      <c r="F124" s="3">
        <v>12000000</v>
      </c>
      <c r="G124" s="4">
        <v>10808980</v>
      </c>
      <c r="H124" s="5">
        <v>1191020</v>
      </c>
      <c r="I124" s="2" t="s">
        <v>457</v>
      </c>
      <c r="J124" s="2" t="s">
        <v>176</v>
      </c>
      <c r="K124" s="2" t="s">
        <v>80</v>
      </c>
      <c r="L124" s="2">
        <v>123</v>
      </c>
      <c r="M124" s="2" t="s">
        <v>50</v>
      </c>
      <c r="N124" s="2" t="s">
        <v>81</v>
      </c>
      <c r="O124" s="2"/>
      <c r="P124" s="2" t="s">
        <v>25</v>
      </c>
    </row>
    <row r="125" spans="1:16" x14ac:dyDescent="0.3">
      <c r="A125" s="2">
        <v>124</v>
      </c>
      <c r="B125" s="2" t="s">
        <v>503</v>
      </c>
      <c r="C125" s="2" t="s">
        <v>504</v>
      </c>
      <c r="D125" s="2" t="s">
        <v>468</v>
      </c>
      <c r="E125" s="2" t="s">
        <v>469</v>
      </c>
      <c r="F125" s="3">
        <v>900000</v>
      </c>
      <c r="G125" s="4">
        <v>710676</v>
      </c>
      <c r="H125" s="5">
        <v>189324</v>
      </c>
      <c r="I125" s="2" t="s">
        <v>474</v>
      </c>
      <c r="J125" s="2" t="s">
        <v>290</v>
      </c>
      <c r="K125" s="2" t="s">
        <v>80</v>
      </c>
      <c r="L125" s="2">
        <v>124</v>
      </c>
      <c r="M125" s="2" t="s">
        <v>50</v>
      </c>
      <c r="N125" s="2" t="s">
        <v>38</v>
      </c>
      <c r="O125" s="2"/>
      <c r="P125" s="2" t="s">
        <v>25</v>
      </c>
    </row>
    <row r="126" spans="1:16" x14ac:dyDescent="0.3">
      <c r="A126" s="6"/>
      <c r="B126" s="6"/>
      <c r="C126" s="6"/>
      <c r="D126" s="6"/>
      <c r="E126" s="7" t="s">
        <v>505</v>
      </c>
      <c r="F126" s="8">
        <f>SUM(F2:F125)</f>
        <v>3015100000</v>
      </c>
      <c r="G126" s="8">
        <f>SUM(G2:G125)</f>
        <v>2678459994</v>
      </c>
      <c r="H126" s="9">
        <f>SUM(H2:H125)</f>
        <v>336640006</v>
      </c>
      <c r="I126" s="6"/>
      <c r="J126" s="6"/>
      <c r="K126" s="6"/>
      <c r="L126" s="6"/>
      <c r="M126" s="6"/>
      <c r="N126" s="6"/>
      <c r="O126" s="6"/>
      <c r="P126" s="6"/>
    </row>
  </sheetData>
  <autoFilter ref="A1:P12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4" customWidth="1"/>
    <col min="3" max="6" width="20" customWidth="1"/>
    <col min="7" max="7" width="12" customWidth="1"/>
    <col min="8" max="8" width="10" customWidth="1"/>
    <col min="9" max="9" width="12" customWidth="1"/>
    <col min="10" max="11" width="10" customWidth="1"/>
  </cols>
  <sheetData>
    <row r="1" spans="1:11" ht="28.2" x14ac:dyDescent="0.3">
      <c r="A1" s="1" t="s">
        <v>506</v>
      </c>
      <c r="B1" s="1" t="s">
        <v>507</v>
      </c>
      <c r="C1" s="1" t="s">
        <v>508</v>
      </c>
      <c r="D1" s="1" t="s">
        <v>6</v>
      </c>
      <c r="E1" s="1" t="s">
        <v>7</v>
      </c>
      <c r="F1" s="1" t="s">
        <v>509</v>
      </c>
      <c r="G1" s="1" t="s">
        <v>510</v>
      </c>
      <c r="H1" s="1" t="s">
        <v>22</v>
      </c>
      <c r="I1" s="1" t="s">
        <v>511</v>
      </c>
      <c r="J1" s="1" t="s">
        <v>109</v>
      </c>
      <c r="K1" s="1" t="s">
        <v>512</v>
      </c>
    </row>
    <row r="2" spans="1:11" x14ac:dyDescent="0.3">
      <c r="A2" s="10" t="s">
        <v>18</v>
      </c>
      <c r="B2" s="11">
        <f>COUNTIF(Master_Claims_Register!D2:D125,"Financial")</f>
        <v>10</v>
      </c>
      <c r="C2" s="12">
        <f>SUMIF(Master_Claims_Register!D2:D125,"Financial",Master_Claims_Register!F2:F125)</f>
        <v>1965000000</v>
      </c>
      <c r="D2" s="12">
        <f>SUMIF(Master_Claims_Register!D2:D125,"Financial",Master_Claims_Register!G2:G125)</f>
        <v>1729440956</v>
      </c>
      <c r="E2" s="12">
        <f>SUMIF(Master_Claims_Register!D2:D125,"Financial",Master_Claims_Register!H2:H125)</f>
        <v>235559044</v>
      </c>
      <c r="F2" s="12">
        <f>IF(B2&gt;0,C2/B2,0)</f>
        <v>196500000</v>
      </c>
      <c r="G2" s="13">
        <f>IF(C$6&gt;0,C2/C$6,0)</f>
        <v>0.65171967762263272</v>
      </c>
      <c r="H2" s="11">
        <f>COUNTIFS(Master_Claims_Register!D2:D125,"Financial",Master_Claims_Register!K2:K125,"Admitted")</f>
        <v>10</v>
      </c>
      <c r="I2" s="11">
        <f>COUNTIFS(Master_Claims_Register!D2:D125,"Financial",Master_Claims_Register!K2:K125,"Under Review")</f>
        <v>0</v>
      </c>
      <c r="J2" s="11">
        <f>COUNTIFS(Master_Claims_Register!D2:D125,"Financial",Master_Claims_Register!K2:K125,"Pending")</f>
        <v>0</v>
      </c>
      <c r="K2" s="11">
        <f>B2-H2-I2-J2</f>
        <v>0</v>
      </c>
    </row>
    <row r="3" spans="1:11" x14ac:dyDescent="0.3">
      <c r="A3" s="10" t="s">
        <v>76</v>
      </c>
      <c r="B3" s="11">
        <f>COUNTIF(Master_Claims_Register!D2:D125,"Operational")</f>
        <v>80</v>
      </c>
      <c r="C3" s="12">
        <f>SUMIF(Master_Claims_Register!D2:D125,"Operational",Master_Claims_Register!F2:F125)</f>
        <v>77000000</v>
      </c>
      <c r="D3" s="12">
        <f>SUMIF(Master_Claims_Register!D2:D125,"Operational",Master_Claims_Register!G2:G125)</f>
        <v>66134009</v>
      </c>
      <c r="E3" s="12">
        <f>SUMIF(Master_Claims_Register!D2:D125,"Operational",Master_Claims_Register!H2:H125)</f>
        <v>10865991</v>
      </c>
      <c r="F3" s="12">
        <f>IF(B3&gt;0,C3/B3,0)</f>
        <v>962500</v>
      </c>
      <c r="G3" s="13">
        <f>IF(C$6&gt;0,C3/C$6,0)</f>
        <v>2.553812477198103E-2</v>
      </c>
      <c r="H3" s="11">
        <f>COUNTIFS(Master_Claims_Register!D2:D125,"Operational",Master_Claims_Register!K2:K125,"Admitted")</f>
        <v>0</v>
      </c>
      <c r="I3" s="11">
        <f>COUNTIFS(Master_Claims_Register!D2:D125,"Operational",Master_Claims_Register!K2:K125,"Under Review")</f>
        <v>5</v>
      </c>
      <c r="J3" s="11">
        <f>COUNTIFS(Master_Claims_Register!D2:D125,"Operational",Master_Claims_Register!K2:K125,"Pending")</f>
        <v>75</v>
      </c>
      <c r="K3" s="11">
        <f>B3-H3-I3-J3</f>
        <v>0</v>
      </c>
    </row>
    <row r="4" spans="1:11" x14ac:dyDescent="0.3">
      <c r="A4" s="10" t="s">
        <v>389</v>
      </c>
      <c r="B4" s="11">
        <f>COUNTIF(Master_Claims_Register!D2:D125,"Statutory Dues")</f>
        <v>19</v>
      </c>
      <c r="C4" s="12">
        <f>SUMIF(Master_Claims_Register!D2:D125,"Statutory Dues",Master_Claims_Register!F2:F125)</f>
        <v>904000000</v>
      </c>
      <c r="D4" s="12">
        <f>SUMIF(Master_Claims_Register!D2:D125,"Statutory Dues",Master_Claims_Register!G2:G125)</f>
        <v>821057390</v>
      </c>
      <c r="E4" s="12">
        <f>SUMIF(Master_Claims_Register!D2:D125,"Statutory Dues",Master_Claims_Register!H2:H125)</f>
        <v>82942610</v>
      </c>
      <c r="F4" s="12">
        <f>IF(B4&gt;0,C4/B4,0)</f>
        <v>47578947.368421055</v>
      </c>
      <c r="G4" s="13">
        <f>IF(C$6&gt;0,C4/C$6,0)</f>
        <v>0.29982421810221882</v>
      </c>
      <c r="H4" s="11">
        <f>COUNTIFS(Master_Claims_Register!D2:D125,"Statutory Dues",Master_Claims_Register!K2:K125,"Admitted")</f>
        <v>0</v>
      </c>
      <c r="I4" s="11">
        <f>COUNTIFS(Master_Claims_Register!D2:D125,"Statutory Dues",Master_Claims_Register!K2:K125,"Under Review")</f>
        <v>5</v>
      </c>
      <c r="J4" s="11">
        <f>COUNTIFS(Master_Claims_Register!D2:D125,"Statutory Dues",Master_Claims_Register!K2:K125,"Pending")</f>
        <v>2</v>
      </c>
      <c r="K4" s="11">
        <f>B4-H4-I4-J4</f>
        <v>12</v>
      </c>
    </row>
    <row r="5" spans="1:11" x14ac:dyDescent="0.3">
      <c r="A5" s="10" t="s">
        <v>468</v>
      </c>
      <c r="B5" s="11">
        <f>COUNTIF(Master_Claims_Register!D2:D125,"Workmen Dues")</f>
        <v>15</v>
      </c>
      <c r="C5" s="12">
        <f>SUMIF(Master_Claims_Register!D2:D125,"Workmen Dues",Master_Claims_Register!F2:F125)</f>
        <v>69100000</v>
      </c>
      <c r="D5" s="12">
        <f>SUMIF(Master_Claims_Register!D2:D125,"Workmen Dues",Master_Claims_Register!G2:G125)</f>
        <v>61827639</v>
      </c>
      <c r="E5" s="12">
        <f>SUMIF(Master_Claims_Register!D2:D125,"Workmen Dues",Master_Claims_Register!H2:H125)</f>
        <v>7272361</v>
      </c>
      <c r="F5" s="12">
        <f>IF(B5&gt;0,C5/B5,0)</f>
        <v>4606666.666666667</v>
      </c>
      <c r="G5" s="13">
        <f>IF(C$6&gt;0,C5/C$6,0)</f>
        <v>2.2917979503167391E-2</v>
      </c>
      <c r="H5" s="11">
        <f>COUNTIFS(Master_Claims_Register!D2:D125,"Workmen Dues",Master_Claims_Register!K2:K125,"Admitted")</f>
        <v>0</v>
      </c>
      <c r="I5" s="11">
        <f>COUNTIFS(Master_Claims_Register!D2:D125,"Workmen Dues",Master_Claims_Register!K2:K125,"Under Review")</f>
        <v>15</v>
      </c>
      <c r="J5" s="11">
        <f>COUNTIFS(Master_Claims_Register!D2:D125,"Workmen Dues",Master_Claims_Register!K2:K125,"Pending")</f>
        <v>0</v>
      </c>
      <c r="K5" s="11">
        <f>B5-H5-I5-J5</f>
        <v>0</v>
      </c>
    </row>
    <row r="6" spans="1:11" x14ac:dyDescent="0.3">
      <c r="A6" s="14" t="s">
        <v>513</v>
      </c>
      <c r="B6" s="7">
        <f t="shared" ref="B6:K6" si="0">SUM(B2:B5)</f>
        <v>124</v>
      </c>
      <c r="C6" s="8">
        <f t="shared" si="0"/>
        <v>3015100000</v>
      </c>
      <c r="D6" s="8">
        <f t="shared" si="0"/>
        <v>2678459994</v>
      </c>
      <c r="E6" s="8">
        <f t="shared" si="0"/>
        <v>336640006</v>
      </c>
      <c r="F6" s="8">
        <f t="shared" si="0"/>
        <v>249648114.0350877</v>
      </c>
      <c r="G6" s="15">
        <f t="shared" si="0"/>
        <v>1</v>
      </c>
      <c r="H6" s="7">
        <f t="shared" si="0"/>
        <v>10</v>
      </c>
      <c r="I6" s="7">
        <f t="shared" si="0"/>
        <v>25</v>
      </c>
      <c r="J6" s="7">
        <f t="shared" si="0"/>
        <v>77</v>
      </c>
      <c r="K6" s="7">
        <f t="shared" si="0"/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topLeftCell="L1" zoomScaleNormal="100" workbookViewId="0">
      <pane ySplit="1" topLeftCell="A8" activePane="bottomLeft" state="frozen"/>
      <selection pane="bottomLeft" activeCell="P23" sqref="P23"/>
    </sheetView>
  </sheetViews>
  <sheetFormatPr defaultColWidth="8.6640625" defaultRowHeight="14.4" x14ac:dyDescent="0.3"/>
  <cols>
    <col min="1" max="2" width="14" customWidth="1"/>
    <col min="3" max="5" width="19" customWidth="1"/>
    <col min="6" max="6" width="21" customWidth="1"/>
    <col min="7" max="7" width="20" customWidth="1"/>
    <col min="8" max="9" width="19" customWidth="1"/>
    <col min="10" max="12" width="21" customWidth="1"/>
    <col min="13" max="14" width="22" customWidth="1"/>
    <col min="15" max="15" width="19" customWidth="1"/>
    <col min="16" max="16" width="17" customWidth="1"/>
    <col min="17" max="17" width="18" customWidth="1"/>
    <col min="18" max="18" width="17" customWidth="1"/>
    <col min="19" max="19" width="19" customWidth="1"/>
    <col min="20" max="20" width="21" customWidth="1"/>
    <col min="21" max="21" width="17" customWidth="1"/>
    <col min="22" max="22" width="18" customWidth="1"/>
    <col min="23" max="23" width="16" customWidth="1"/>
    <col min="24" max="24" width="23" customWidth="1"/>
    <col min="25" max="26" width="14" customWidth="1"/>
  </cols>
  <sheetData>
    <row r="1" spans="1:26" ht="28.2" x14ac:dyDescent="0.3">
      <c r="A1" s="16" t="s">
        <v>0</v>
      </c>
      <c r="B1" s="16" t="s">
        <v>1</v>
      </c>
      <c r="C1" s="16" t="s">
        <v>514</v>
      </c>
      <c r="D1" s="16" t="s">
        <v>515</v>
      </c>
      <c r="E1" s="16" t="s">
        <v>516</v>
      </c>
      <c r="F1" s="16" t="s">
        <v>517</v>
      </c>
      <c r="G1" s="16" t="s">
        <v>5</v>
      </c>
      <c r="H1" s="16" t="s">
        <v>518</v>
      </c>
      <c r="I1" s="16" t="s">
        <v>519</v>
      </c>
      <c r="J1" s="16" t="s">
        <v>520</v>
      </c>
      <c r="K1" s="16" t="s">
        <v>521</v>
      </c>
      <c r="L1" s="16" t="s">
        <v>522</v>
      </c>
      <c r="M1" s="16" t="s">
        <v>523</v>
      </c>
      <c r="N1" s="16" t="s">
        <v>524</v>
      </c>
      <c r="O1" s="16" t="s">
        <v>525</v>
      </c>
      <c r="P1" s="16" t="s">
        <v>526</v>
      </c>
      <c r="Q1" s="16" t="s">
        <v>527</v>
      </c>
      <c r="R1" s="16" t="s">
        <v>528</v>
      </c>
      <c r="S1" s="16" t="s">
        <v>529</v>
      </c>
      <c r="T1" s="16" t="s">
        <v>530</v>
      </c>
      <c r="U1" s="16" t="s">
        <v>531</v>
      </c>
      <c r="V1" s="16" t="s">
        <v>532</v>
      </c>
      <c r="W1" s="16" t="s">
        <v>533</v>
      </c>
      <c r="X1" s="16" t="s">
        <v>534</v>
      </c>
      <c r="Y1" s="16" t="s">
        <v>535</v>
      </c>
      <c r="Z1" s="16" t="s">
        <v>14</v>
      </c>
    </row>
    <row r="2" spans="1:26" x14ac:dyDescent="0.3">
      <c r="A2" s="2">
        <v>1</v>
      </c>
      <c r="B2" s="2" t="s">
        <v>536</v>
      </c>
      <c r="C2" s="2" t="s">
        <v>537</v>
      </c>
      <c r="D2" s="2" t="s">
        <v>394</v>
      </c>
      <c r="E2" s="2" t="s">
        <v>538</v>
      </c>
      <c r="F2" s="2" t="s">
        <v>539</v>
      </c>
      <c r="G2" s="3">
        <v>250000000</v>
      </c>
      <c r="H2" s="17">
        <v>50000000</v>
      </c>
      <c r="I2" s="12">
        <f t="shared" ref="I2:I19" si="0">G2-H2</f>
        <v>200000000</v>
      </c>
      <c r="J2" s="4">
        <v>17055546</v>
      </c>
      <c r="K2" s="4">
        <v>12948331</v>
      </c>
      <c r="L2" s="4">
        <v>19182287</v>
      </c>
      <c r="M2" s="12">
        <f t="shared" ref="M2:M19" si="1">J2+K2+L2</f>
        <v>49186164</v>
      </c>
      <c r="N2" s="5">
        <v>2450537</v>
      </c>
      <c r="O2" s="18">
        <f t="shared" ref="O2:O19" si="2">I2+M2+N2</f>
        <v>251636701</v>
      </c>
      <c r="P2" s="25">
        <v>46037</v>
      </c>
      <c r="Q2" s="2" t="s">
        <v>395</v>
      </c>
      <c r="R2" s="2" t="s">
        <v>396</v>
      </c>
      <c r="S2" s="2" t="s">
        <v>540</v>
      </c>
      <c r="T2" s="2" t="s">
        <v>541</v>
      </c>
      <c r="U2" s="2" t="s">
        <v>396</v>
      </c>
      <c r="V2" s="2" t="s">
        <v>542</v>
      </c>
      <c r="W2" s="2" t="s">
        <v>543</v>
      </c>
      <c r="X2" s="2" t="s">
        <v>544</v>
      </c>
      <c r="Y2" s="2" t="s">
        <v>545</v>
      </c>
      <c r="Z2" s="2"/>
    </row>
    <row r="3" spans="1:26" x14ac:dyDescent="0.3">
      <c r="A3" s="2">
        <v>2</v>
      </c>
      <c r="B3" s="2" t="s">
        <v>546</v>
      </c>
      <c r="C3" s="2" t="s">
        <v>547</v>
      </c>
      <c r="D3" s="2" t="s">
        <v>402</v>
      </c>
      <c r="E3" s="2" t="s">
        <v>548</v>
      </c>
      <c r="F3" s="2" t="s">
        <v>549</v>
      </c>
      <c r="G3" s="3">
        <v>35000000</v>
      </c>
      <c r="H3" s="17">
        <v>5000000</v>
      </c>
      <c r="I3" s="12">
        <f t="shared" si="0"/>
        <v>30000000</v>
      </c>
      <c r="J3" s="4">
        <v>3120778</v>
      </c>
      <c r="K3" s="4">
        <v>2267515</v>
      </c>
      <c r="L3" s="4">
        <v>2076799</v>
      </c>
      <c r="M3" s="12">
        <f t="shared" si="1"/>
        <v>7465092</v>
      </c>
      <c r="N3" s="5">
        <v>17375290</v>
      </c>
      <c r="O3" s="18">
        <f t="shared" si="2"/>
        <v>54840382</v>
      </c>
      <c r="P3" s="25">
        <v>46042</v>
      </c>
      <c r="Q3" s="2" t="s">
        <v>403</v>
      </c>
      <c r="R3" s="2" t="s">
        <v>80</v>
      </c>
      <c r="S3" s="2" t="s">
        <v>550</v>
      </c>
      <c r="T3" s="2" t="s">
        <v>541</v>
      </c>
      <c r="U3" s="2" t="s">
        <v>80</v>
      </c>
      <c r="V3" s="2" t="s">
        <v>551</v>
      </c>
      <c r="W3" s="2" t="s">
        <v>552</v>
      </c>
      <c r="X3" s="2" t="s">
        <v>553</v>
      </c>
      <c r="Y3" s="2" t="s">
        <v>554</v>
      </c>
      <c r="Z3" s="2"/>
    </row>
    <row r="4" spans="1:26" x14ac:dyDescent="0.3">
      <c r="A4" s="2">
        <v>3</v>
      </c>
      <c r="B4" s="2" t="s">
        <v>555</v>
      </c>
      <c r="C4" s="2" t="s">
        <v>556</v>
      </c>
      <c r="D4" s="2" t="s">
        <v>557</v>
      </c>
      <c r="E4" s="2" t="s">
        <v>538</v>
      </c>
      <c r="F4" s="2" t="s">
        <v>558</v>
      </c>
      <c r="G4" s="3">
        <v>18000000</v>
      </c>
      <c r="H4" s="17">
        <v>0</v>
      </c>
      <c r="I4" s="12">
        <f t="shared" si="0"/>
        <v>18000000</v>
      </c>
      <c r="J4" s="4">
        <v>1092382</v>
      </c>
      <c r="K4" s="4">
        <v>1171504</v>
      </c>
      <c r="L4" s="4">
        <v>454648</v>
      </c>
      <c r="M4" s="12">
        <f t="shared" si="1"/>
        <v>2718534</v>
      </c>
      <c r="N4" s="5">
        <v>2845100</v>
      </c>
      <c r="O4" s="18">
        <f t="shared" si="2"/>
        <v>23563634</v>
      </c>
      <c r="P4" s="25">
        <v>46047</v>
      </c>
      <c r="Q4" s="2" t="s">
        <v>316</v>
      </c>
      <c r="R4" s="2" t="s">
        <v>408</v>
      </c>
      <c r="S4" s="2" t="s">
        <v>559</v>
      </c>
      <c r="T4" s="2" t="s">
        <v>541</v>
      </c>
      <c r="U4" s="2" t="s">
        <v>408</v>
      </c>
      <c r="V4" s="2" t="s">
        <v>551</v>
      </c>
      <c r="W4" s="2" t="s">
        <v>560</v>
      </c>
      <c r="X4" s="2" t="s">
        <v>561</v>
      </c>
      <c r="Y4" s="2" t="s">
        <v>562</v>
      </c>
      <c r="Z4" s="2"/>
    </row>
    <row r="5" spans="1:26" x14ac:dyDescent="0.3">
      <c r="A5" s="2">
        <v>4</v>
      </c>
      <c r="B5" s="2" t="s">
        <v>563</v>
      </c>
      <c r="C5" s="2" t="s">
        <v>564</v>
      </c>
      <c r="D5" s="2" t="s">
        <v>411</v>
      </c>
      <c r="E5" s="2" t="s">
        <v>565</v>
      </c>
      <c r="F5" s="2" t="s">
        <v>566</v>
      </c>
      <c r="G5" s="3">
        <v>42000000</v>
      </c>
      <c r="H5" s="17">
        <v>8000000</v>
      </c>
      <c r="I5" s="12">
        <f t="shared" si="0"/>
        <v>34000000</v>
      </c>
      <c r="J5" s="4">
        <v>5114275</v>
      </c>
      <c r="K5" s="4">
        <v>3816518</v>
      </c>
      <c r="L5" s="4">
        <v>1080598</v>
      </c>
      <c r="M5" s="12">
        <f t="shared" si="1"/>
        <v>10011391</v>
      </c>
      <c r="N5" s="5">
        <v>19564760</v>
      </c>
      <c r="O5" s="18">
        <f t="shared" si="2"/>
        <v>63576151</v>
      </c>
      <c r="P5" s="25">
        <v>46054</v>
      </c>
      <c r="Q5" s="2" t="s">
        <v>73</v>
      </c>
      <c r="R5" s="2" t="s">
        <v>412</v>
      </c>
      <c r="S5" s="2" t="s">
        <v>567</v>
      </c>
      <c r="T5" s="2" t="s">
        <v>541</v>
      </c>
      <c r="U5" s="2" t="s">
        <v>412</v>
      </c>
      <c r="V5" s="2" t="s">
        <v>568</v>
      </c>
      <c r="W5" s="2" t="s">
        <v>543</v>
      </c>
      <c r="X5" s="2" t="s">
        <v>544</v>
      </c>
      <c r="Y5" s="2" t="s">
        <v>545</v>
      </c>
      <c r="Z5" s="2"/>
    </row>
    <row r="6" spans="1:26" x14ac:dyDescent="0.3">
      <c r="A6" s="2">
        <v>5</v>
      </c>
      <c r="B6" s="2" t="s">
        <v>569</v>
      </c>
      <c r="C6" s="2" t="s">
        <v>537</v>
      </c>
      <c r="D6" s="2" t="s">
        <v>414</v>
      </c>
      <c r="E6" s="2" t="s">
        <v>570</v>
      </c>
      <c r="F6" s="2" t="s">
        <v>539</v>
      </c>
      <c r="G6" s="3">
        <v>55000000</v>
      </c>
      <c r="H6" s="17">
        <v>10000000</v>
      </c>
      <c r="I6" s="12">
        <f t="shared" si="0"/>
        <v>45000000</v>
      </c>
      <c r="J6" s="4">
        <v>4794934</v>
      </c>
      <c r="K6" s="4">
        <v>3909709</v>
      </c>
      <c r="L6" s="4">
        <v>3921750</v>
      </c>
      <c r="M6" s="12">
        <f t="shared" si="1"/>
        <v>12626393</v>
      </c>
      <c r="N6" s="5">
        <v>14821925</v>
      </c>
      <c r="O6" s="18">
        <f t="shared" si="2"/>
        <v>72448318</v>
      </c>
      <c r="P6" s="25">
        <v>46058</v>
      </c>
      <c r="Q6" s="2" t="s">
        <v>343</v>
      </c>
      <c r="R6" s="2" t="s">
        <v>396</v>
      </c>
      <c r="S6" s="2" t="s">
        <v>571</v>
      </c>
      <c r="T6" s="2" t="s">
        <v>541</v>
      </c>
      <c r="U6" s="2" t="s">
        <v>396</v>
      </c>
      <c r="V6" s="2" t="s">
        <v>551</v>
      </c>
      <c r="W6" s="2" t="s">
        <v>572</v>
      </c>
      <c r="X6" s="2" t="s">
        <v>573</v>
      </c>
      <c r="Y6" s="2" t="s">
        <v>574</v>
      </c>
      <c r="Z6" s="2"/>
    </row>
    <row r="7" spans="1:26" x14ac:dyDescent="0.3">
      <c r="A7" s="2">
        <v>6</v>
      </c>
      <c r="B7" s="2" t="s">
        <v>575</v>
      </c>
      <c r="C7" s="2" t="s">
        <v>576</v>
      </c>
      <c r="D7" s="2" t="s">
        <v>417</v>
      </c>
      <c r="E7" s="2" t="s">
        <v>538</v>
      </c>
      <c r="F7" s="2" t="s">
        <v>577</v>
      </c>
      <c r="G7" s="3">
        <v>120000000</v>
      </c>
      <c r="H7" s="17">
        <v>0</v>
      </c>
      <c r="I7" s="12">
        <f t="shared" si="0"/>
        <v>120000000</v>
      </c>
      <c r="J7" s="4">
        <v>13526446</v>
      </c>
      <c r="K7" s="4">
        <v>6529923</v>
      </c>
      <c r="L7" s="4">
        <v>4266244</v>
      </c>
      <c r="M7" s="12">
        <f t="shared" si="1"/>
        <v>24322613</v>
      </c>
      <c r="N7" s="5">
        <v>6551258</v>
      </c>
      <c r="O7" s="18">
        <f t="shared" si="2"/>
        <v>150873871</v>
      </c>
      <c r="P7" s="25">
        <v>46063</v>
      </c>
      <c r="Q7" s="2" t="s">
        <v>21</v>
      </c>
      <c r="R7" s="2" t="s">
        <v>418</v>
      </c>
      <c r="S7" s="2" t="s">
        <v>578</v>
      </c>
      <c r="T7" s="2" t="s">
        <v>541</v>
      </c>
      <c r="U7" s="2" t="s">
        <v>418</v>
      </c>
      <c r="V7" s="2" t="s">
        <v>542</v>
      </c>
      <c r="W7" s="2" t="s">
        <v>543</v>
      </c>
      <c r="X7" s="2" t="s">
        <v>544</v>
      </c>
      <c r="Y7" s="2" t="s">
        <v>545</v>
      </c>
      <c r="Z7" s="2"/>
    </row>
    <row r="8" spans="1:26" x14ac:dyDescent="0.3">
      <c r="A8" s="2">
        <v>7</v>
      </c>
      <c r="B8" s="2" t="s">
        <v>579</v>
      </c>
      <c r="C8" s="2" t="s">
        <v>547</v>
      </c>
      <c r="D8" s="2" t="s">
        <v>420</v>
      </c>
      <c r="E8" s="2" t="s">
        <v>538</v>
      </c>
      <c r="F8" s="2" t="s">
        <v>580</v>
      </c>
      <c r="G8" s="3">
        <v>28000000</v>
      </c>
      <c r="H8" s="17">
        <v>3000000</v>
      </c>
      <c r="I8" s="12">
        <f t="shared" si="0"/>
        <v>25000000</v>
      </c>
      <c r="J8" s="4">
        <v>3905592</v>
      </c>
      <c r="K8" s="4">
        <v>1017771</v>
      </c>
      <c r="L8" s="4">
        <v>961514</v>
      </c>
      <c r="M8" s="12">
        <f t="shared" si="1"/>
        <v>5884877</v>
      </c>
      <c r="N8" s="5">
        <v>3995247</v>
      </c>
      <c r="O8" s="18">
        <f t="shared" si="2"/>
        <v>34880124</v>
      </c>
      <c r="P8" s="25">
        <v>46068</v>
      </c>
      <c r="Q8" s="2" t="s">
        <v>64</v>
      </c>
      <c r="R8" s="2" t="s">
        <v>80</v>
      </c>
      <c r="S8" s="2" t="s">
        <v>550</v>
      </c>
      <c r="T8" s="2" t="s">
        <v>541</v>
      </c>
      <c r="U8" s="2" t="s">
        <v>80</v>
      </c>
      <c r="V8" s="2" t="s">
        <v>542</v>
      </c>
      <c r="W8" s="2" t="s">
        <v>572</v>
      </c>
      <c r="X8" s="2" t="s">
        <v>573</v>
      </c>
      <c r="Y8" s="2" t="s">
        <v>574</v>
      </c>
      <c r="Z8" s="2"/>
    </row>
    <row r="9" spans="1:26" x14ac:dyDescent="0.3">
      <c r="A9" s="2">
        <v>8</v>
      </c>
      <c r="B9" s="2" t="s">
        <v>581</v>
      </c>
      <c r="C9" s="2" t="s">
        <v>582</v>
      </c>
      <c r="D9" s="2" t="s">
        <v>424</v>
      </c>
      <c r="E9" s="2" t="s">
        <v>548</v>
      </c>
      <c r="F9" s="2" t="s">
        <v>583</v>
      </c>
      <c r="G9" s="3">
        <v>75000000</v>
      </c>
      <c r="H9" s="17">
        <v>0</v>
      </c>
      <c r="I9" s="12">
        <f t="shared" si="0"/>
        <v>75000000</v>
      </c>
      <c r="J9" s="4">
        <v>10331078</v>
      </c>
      <c r="K9" s="4">
        <v>3767282</v>
      </c>
      <c r="L9" s="4">
        <v>2667908</v>
      </c>
      <c r="M9" s="12">
        <f t="shared" si="1"/>
        <v>16766268</v>
      </c>
      <c r="N9" s="5">
        <v>24255604</v>
      </c>
      <c r="O9" s="18">
        <f t="shared" si="2"/>
        <v>116021872</v>
      </c>
      <c r="P9" s="25">
        <v>45981</v>
      </c>
      <c r="Q9" s="2" t="s">
        <v>162</v>
      </c>
      <c r="R9" s="2" t="s">
        <v>412</v>
      </c>
      <c r="S9" s="2" t="s">
        <v>584</v>
      </c>
      <c r="T9" s="2" t="s">
        <v>541</v>
      </c>
      <c r="U9" s="2" t="s">
        <v>412</v>
      </c>
      <c r="V9" s="2" t="s">
        <v>542</v>
      </c>
      <c r="W9" s="2" t="s">
        <v>552</v>
      </c>
      <c r="X9" s="2" t="s">
        <v>553</v>
      </c>
      <c r="Y9" s="2" t="s">
        <v>554</v>
      </c>
      <c r="Z9" s="2"/>
    </row>
    <row r="10" spans="1:26" x14ac:dyDescent="0.3">
      <c r="A10" s="2">
        <v>9</v>
      </c>
      <c r="B10" s="2" t="s">
        <v>585</v>
      </c>
      <c r="C10" s="2" t="s">
        <v>556</v>
      </c>
      <c r="D10" s="2" t="s">
        <v>427</v>
      </c>
      <c r="E10" s="2" t="s">
        <v>565</v>
      </c>
      <c r="F10" s="2" t="s">
        <v>558</v>
      </c>
      <c r="G10" s="3">
        <v>32000000</v>
      </c>
      <c r="H10" s="17">
        <v>0</v>
      </c>
      <c r="I10" s="12">
        <f t="shared" si="0"/>
        <v>32000000</v>
      </c>
      <c r="J10" s="4">
        <v>2607871</v>
      </c>
      <c r="K10" s="4">
        <v>991272</v>
      </c>
      <c r="L10" s="4">
        <v>1871455</v>
      </c>
      <c r="M10" s="12">
        <f t="shared" si="1"/>
        <v>5470598</v>
      </c>
      <c r="N10" s="5">
        <v>13134831</v>
      </c>
      <c r="O10" s="18">
        <f t="shared" si="2"/>
        <v>50605429</v>
      </c>
      <c r="P10" s="25">
        <v>46078</v>
      </c>
      <c r="Q10" s="2" t="s">
        <v>428</v>
      </c>
      <c r="R10" s="2" t="s">
        <v>408</v>
      </c>
      <c r="S10" s="2" t="s">
        <v>586</v>
      </c>
      <c r="T10" s="2" t="s">
        <v>541</v>
      </c>
      <c r="U10" s="2" t="s">
        <v>408</v>
      </c>
      <c r="V10" s="2" t="s">
        <v>542</v>
      </c>
      <c r="W10" s="2" t="s">
        <v>560</v>
      </c>
      <c r="X10" s="2" t="s">
        <v>561</v>
      </c>
      <c r="Y10" s="2" t="s">
        <v>562</v>
      </c>
      <c r="Z10" s="2"/>
    </row>
    <row r="11" spans="1:26" x14ac:dyDescent="0.3">
      <c r="A11" s="2">
        <v>10</v>
      </c>
      <c r="B11" s="2" t="s">
        <v>587</v>
      </c>
      <c r="C11" s="2" t="s">
        <v>588</v>
      </c>
      <c r="D11" s="2" t="s">
        <v>431</v>
      </c>
      <c r="E11" s="2" t="s">
        <v>589</v>
      </c>
      <c r="F11" s="2" t="s">
        <v>590</v>
      </c>
      <c r="G11" s="3">
        <v>90000000</v>
      </c>
      <c r="H11" s="17">
        <v>15000000</v>
      </c>
      <c r="I11" s="12">
        <f t="shared" si="0"/>
        <v>75000000</v>
      </c>
      <c r="J11" s="4">
        <v>12160428</v>
      </c>
      <c r="K11" s="4">
        <v>7490447</v>
      </c>
      <c r="L11" s="4">
        <v>5356119</v>
      </c>
      <c r="M11" s="12">
        <f t="shared" si="1"/>
        <v>25006994</v>
      </c>
      <c r="N11" s="5">
        <v>25128221</v>
      </c>
      <c r="O11" s="18">
        <f t="shared" si="2"/>
        <v>125135215</v>
      </c>
      <c r="P11" s="25">
        <v>46082</v>
      </c>
      <c r="Q11" s="2" t="s">
        <v>36</v>
      </c>
      <c r="R11" s="2" t="s">
        <v>396</v>
      </c>
      <c r="S11" s="2" t="s">
        <v>446</v>
      </c>
      <c r="T11" s="2" t="s">
        <v>541</v>
      </c>
      <c r="U11" s="2" t="s">
        <v>396</v>
      </c>
      <c r="V11" s="2" t="s">
        <v>568</v>
      </c>
      <c r="W11" s="2" t="s">
        <v>572</v>
      </c>
      <c r="X11" s="2" t="s">
        <v>573</v>
      </c>
      <c r="Y11" s="2" t="s">
        <v>574</v>
      </c>
      <c r="Z11" s="2"/>
    </row>
    <row r="12" spans="1:26" x14ac:dyDescent="0.3">
      <c r="A12" s="2">
        <v>11</v>
      </c>
      <c r="B12" s="2" t="s">
        <v>591</v>
      </c>
      <c r="C12" s="2" t="s">
        <v>592</v>
      </c>
      <c r="D12" s="2" t="s">
        <v>593</v>
      </c>
      <c r="E12" s="2" t="s">
        <v>548</v>
      </c>
      <c r="F12" s="2" t="s">
        <v>594</v>
      </c>
      <c r="G12" s="3">
        <v>0</v>
      </c>
      <c r="H12" s="17">
        <v>0</v>
      </c>
      <c r="I12" s="12">
        <f t="shared" si="0"/>
        <v>0</v>
      </c>
      <c r="J12" s="4">
        <v>0</v>
      </c>
      <c r="K12" s="4">
        <v>0</v>
      </c>
      <c r="L12" s="4">
        <v>0</v>
      </c>
      <c r="M12" s="12">
        <f t="shared" si="1"/>
        <v>0</v>
      </c>
      <c r="N12" s="5">
        <v>0</v>
      </c>
      <c r="O12" s="18">
        <f t="shared" si="2"/>
        <v>0</v>
      </c>
      <c r="P12" s="25">
        <v>46086</v>
      </c>
      <c r="Q12" s="2" t="s">
        <v>435</v>
      </c>
      <c r="R12" s="2" t="s">
        <v>437</v>
      </c>
      <c r="S12" s="2" t="s">
        <v>595</v>
      </c>
      <c r="T12" s="2" t="s">
        <v>541</v>
      </c>
      <c r="U12" s="2" t="s">
        <v>437</v>
      </c>
      <c r="V12" s="2" t="s">
        <v>596</v>
      </c>
      <c r="W12" s="2" t="s">
        <v>560</v>
      </c>
      <c r="X12" s="2" t="s">
        <v>561</v>
      </c>
      <c r="Y12" s="2" t="s">
        <v>562</v>
      </c>
      <c r="Z12" s="2"/>
    </row>
    <row r="13" spans="1:26" x14ac:dyDescent="0.3">
      <c r="A13" s="2">
        <v>12</v>
      </c>
      <c r="B13" s="2" t="s">
        <v>597</v>
      </c>
      <c r="C13" s="2" t="s">
        <v>598</v>
      </c>
      <c r="D13" s="2" t="s">
        <v>599</v>
      </c>
      <c r="E13" s="2" t="s">
        <v>600</v>
      </c>
      <c r="F13" s="2" t="s">
        <v>601</v>
      </c>
      <c r="G13" s="3">
        <v>45000000</v>
      </c>
      <c r="H13" s="17">
        <v>5000000</v>
      </c>
      <c r="I13" s="12">
        <f t="shared" si="0"/>
        <v>40000000</v>
      </c>
      <c r="J13" s="4">
        <v>5495815</v>
      </c>
      <c r="K13" s="4">
        <v>4330580</v>
      </c>
      <c r="L13" s="4">
        <v>3573083</v>
      </c>
      <c r="M13" s="12">
        <f t="shared" si="1"/>
        <v>13399478</v>
      </c>
      <c r="N13" s="5">
        <v>10061154</v>
      </c>
      <c r="O13" s="18">
        <f t="shared" si="2"/>
        <v>63460632</v>
      </c>
      <c r="P13" s="25">
        <v>45940</v>
      </c>
      <c r="Q13" s="2" t="s">
        <v>441</v>
      </c>
      <c r="R13" s="2" t="s">
        <v>80</v>
      </c>
      <c r="S13" s="2" t="s">
        <v>602</v>
      </c>
      <c r="T13" s="2" t="s">
        <v>541</v>
      </c>
      <c r="U13" s="2" t="s">
        <v>80</v>
      </c>
      <c r="V13" s="2" t="s">
        <v>568</v>
      </c>
      <c r="W13" s="2" t="s">
        <v>552</v>
      </c>
      <c r="X13" s="2" t="s">
        <v>553</v>
      </c>
      <c r="Y13" s="2" t="s">
        <v>554</v>
      </c>
      <c r="Z13" s="2"/>
    </row>
    <row r="14" spans="1:26" x14ac:dyDescent="0.3">
      <c r="A14" s="2">
        <v>13</v>
      </c>
      <c r="B14" s="2" t="s">
        <v>603</v>
      </c>
      <c r="C14" s="2" t="s">
        <v>604</v>
      </c>
      <c r="D14" s="2" t="s">
        <v>605</v>
      </c>
      <c r="E14" s="2" t="s">
        <v>600</v>
      </c>
      <c r="F14" s="2" t="s">
        <v>606</v>
      </c>
      <c r="G14" s="3">
        <v>8500000</v>
      </c>
      <c r="H14" s="17">
        <v>2000000</v>
      </c>
      <c r="I14" s="12">
        <f t="shared" si="0"/>
        <v>6500000</v>
      </c>
      <c r="J14" s="4">
        <v>435420</v>
      </c>
      <c r="K14" s="4">
        <v>556503</v>
      </c>
      <c r="L14" s="4">
        <v>349126</v>
      </c>
      <c r="M14" s="12">
        <f t="shared" si="1"/>
        <v>1341049</v>
      </c>
      <c r="N14" s="5">
        <v>168263</v>
      </c>
      <c r="O14" s="18">
        <f t="shared" si="2"/>
        <v>8009312</v>
      </c>
      <c r="P14" s="25">
        <v>46093</v>
      </c>
      <c r="Q14" s="2" t="s">
        <v>445</v>
      </c>
      <c r="R14" s="2" t="s">
        <v>446</v>
      </c>
      <c r="S14" s="2" t="s">
        <v>541</v>
      </c>
      <c r="T14" s="2" t="s">
        <v>541</v>
      </c>
      <c r="U14" s="2" t="s">
        <v>446</v>
      </c>
      <c r="V14" s="2" t="s">
        <v>551</v>
      </c>
      <c r="W14" s="2" t="s">
        <v>552</v>
      </c>
      <c r="X14" s="2" t="s">
        <v>553</v>
      </c>
      <c r="Y14" s="2" t="s">
        <v>554</v>
      </c>
      <c r="Z14" s="2"/>
    </row>
    <row r="15" spans="1:26" x14ac:dyDescent="0.3">
      <c r="A15" s="2">
        <v>14</v>
      </c>
      <c r="B15" s="2" t="s">
        <v>607</v>
      </c>
      <c r="C15" s="2" t="s">
        <v>537</v>
      </c>
      <c r="D15" s="2" t="s">
        <v>608</v>
      </c>
      <c r="E15" s="2" t="s">
        <v>609</v>
      </c>
      <c r="F15" s="2" t="s">
        <v>610</v>
      </c>
      <c r="G15" s="3">
        <v>65000000</v>
      </c>
      <c r="H15" s="17">
        <v>0</v>
      </c>
      <c r="I15" s="12">
        <f t="shared" si="0"/>
        <v>65000000</v>
      </c>
      <c r="J15" s="4">
        <v>5572017</v>
      </c>
      <c r="K15" s="4">
        <v>2217482</v>
      </c>
      <c r="L15" s="4">
        <v>4281378</v>
      </c>
      <c r="M15" s="12">
        <f t="shared" si="1"/>
        <v>12070877</v>
      </c>
      <c r="N15" s="5">
        <v>18677202</v>
      </c>
      <c r="O15" s="18">
        <f t="shared" si="2"/>
        <v>95748079</v>
      </c>
      <c r="P15" s="25">
        <v>46096</v>
      </c>
      <c r="Q15" s="2" t="s">
        <v>450</v>
      </c>
      <c r="R15" s="2" t="s">
        <v>611</v>
      </c>
      <c r="S15" s="2" t="s">
        <v>612</v>
      </c>
      <c r="T15" s="2" t="s">
        <v>541</v>
      </c>
      <c r="U15" s="2" t="s">
        <v>611</v>
      </c>
      <c r="V15" s="2" t="s">
        <v>551</v>
      </c>
      <c r="W15" s="2" t="s">
        <v>613</v>
      </c>
      <c r="X15" s="2" t="s">
        <v>614</v>
      </c>
      <c r="Y15" s="2" t="s">
        <v>615</v>
      </c>
      <c r="Z15" s="2"/>
    </row>
    <row r="16" spans="1:26" x14ac:dyDescent="0.3">
      <c r="A16" s="2">
        <v>15</v>
      </c>
      <c r="B16" s="2" t="s">
        <v>616</v>
      </c>
      <c r="C16" s="2" t="s">
        <v>547</v>
      </c>
      <c r="D16" s="2" t="s">
        <v>617</v>
      </c>
      <c r="E16" s="2" t="s">
        <v>565</v>
      </c>
      <c r="F16" s="2" t="s">
        <v>618</v>
      </c>
      <c r="G16" s="3">
        <v>4500000</v>
      </c>
      <c r="H16" s="17">
        <v>500000</v>
      </c>
      <c r="I16" s="12">
        <f t="shared" si="0"/>
        <v>4000000</v>
      </c>
      <c r="J16" s="4">
        <v>455486</v>
      </c>
      <c r="K16" s="4">
        <v>177139</v>
      </c>
      <c r="L16" s="4">
        <v>196366</v>
      </c>
      <c r="M16" s="12">
        <f t="shared" si="1"/>
        <v>828991</v>
      </c>
      <c r="N16" s="5">
        <v>654502</v>
      </c>
      <c r="O16" s="18">
        <f t="shared" si="2"/>
        <v>5483493</v>
      </c>
      <c r="P16" s="25">
        <v>46099</v>
      </c>
      <c r="Q16" s="2" t="s">
        <v>456</v>
      </c>
      <c r="R16" s="2" t="s">
        <v>80</v>
      </c>
      <c r="S16" s="2" t="s">
        <v>550</v>
      </c>
      <c r="T16" s="2" t="s">
        <v>541</v>
      </c>
      <c r="U16" s="2" t="s">
        <v>80</v>
      </c>
      <c r="V16" s="2" t="s">
        <v>596</v>
      </c>
      <c r="W16" s="2" t="s">
        <v>613</v>
      </c>
      <c r="X16" s="2" t="s">
        <v>614</v>
      </c>
      <c r="Y16" s="2" t="s">
        <v>615</v>
      </c>
      <c r="Z16" s="2"/>
    </row>
    <row r="17" spans="1:26" x14ac:dyDescent="0.3">
      <c r="A17" s="2">
        <v>16</v>
      </c>
      <c r="B17" s="2" t="s">
        <v>619</v>
      </c>
      <c r="C17" s="2" t="s">
        <v>556</v>
      </c>
      <c r="D17" s="2" t="s">
        <v>620</v>
      </c>
      <c r="E17" s="2" t="s">
        <v>570</v>
      </c>
      <c r="F17" s="2" t="s">
        <v>621</v>
      </c>
      <c r="G17" s="3">
        <v>5000000</v>
      </c>
      <c r="H17" s="17">
        <v>0</v>
      </c>
      <c r="I17" s="12">
        <f t="shared" si="0"/>
        <v>5000000</v>
      </c>
      <c r="J17" s="4">
        <v>383341</v>
      </c>
      <c r="K17" s="4">
        <v>403450</v>
      </c>
      <c r="L17" s="4">
        <v>366363</v>
      </c>
      <c r="M17" s="12">
        <f t="shared" si="1"/>
        <v>1153154</v>
      </c>
      <c r="N17" s="5">
        <v>2023789</v>
      </c>
      <c r="O17" s="18">
        <f t="shared" si="2"/>
        <v>8176943</v>
      </c>
      <c r="P17" s="25">
        <v>45920</v>
      </c>
      <c r="Q17" s="2" t="s">
        <v>461</v>
      </c>
      <c r="R17" s="2" t="s">
        <v>452</v>
      </c>
      <c r="S17" s="2" t="s">
        <v>541</v>
      </c>
      <c r="T17" s="2" t="s">
        <v>541</v>
      </c>
      <c r="U17" s="2" t="s">
        <v>452</v>
      </c>
      <c r="V17" s="2" t="s">
        <v>568</v>
      </c>
      <c r="W17" s="2" t="s">
        <v>543</v>
      </c>
      <c r="X17" s="2" t="s">
        <v>544</v>
      </c>
      <c r="Y17" s="2" t="s">
        <v>545</v>
      </c>
      <c r="Z17" s="2"/>
    </row>
    <row r="18" spans="1:26" x14ac:dyDescent="0.3">
      <c r="A18" s="2">
        <v>17</v>
      </c>
      <c r="B18" s="2" t="s">
        <v>622</v>
      </c>
      <c r="C18" s="2" t="s">
        <v>623</v>
      </c>
      <c r="D18" s="2" t="s">
        <v>624</v>
      </c>
      <c r="E18" s="2" t="s">
        <v>548</v>
      </c>
      <c r="F18" s="2" t="s">
        <v>625</v>
      </c>
      <c r="G18" s="3">
        <v>180000000</v>
      </c>
      <c r="H18" s="17">
        <v>0</v>
      </c>
      <c r="I18" s="12">
        <f t="shared" si="0"/>
        <v>180000000</v>
      </c>
      <c r="J18" s="4">
        <v>12458841</v>
      </c>
      <c r="K18" s="4">
        <v>10970806</v>
      </c>
      <c r="L18" s="4">
        <v>13343305</v>
      </c>
      <c r="M18" s="12">
        <f t="shared" si="1"/>
        <v>36772952</v>
      </c>
      <c r="N18" s="5">
        <v>44579479</v>
      </c>
      <c r="O18" s="18">
        <f t="shared" si="2"/>
        <v>261352431</v>
      </c>
      <c r="P18" s="25">
        <v>46103</v>
      </c>
      <c r="Q18" s="2" t="s">
        <v>465</v>
      </c>
      <c r="R18" s="2" t="s">
        <v>418</v>
      </c>
      <c r="S18" s="2" t="s">
        <v>626</v>
      </c>
      <c r="T18" s="2" t="s">
        <v>541</v>
      </c>
      <c r="U18" s="2" t="s">
        <v>418</v>
      </c>
      <c r="V18" s="2" t="s">
        <v>542</v>
      </c>
      <c r="W18" s="2" t="s">
        <v>613</v>
      </c>
      <c r="X18" s="2" t="s">
        <v>614</v>
      </c>
      <c r="Y18" s="2" t="s">
        <v>615</v>
      </c>
      <c r="Z18" s="2"/>
    </row>
    <row r="19" spans="1:26" x14ac:dyDescent="0.3">
      <c r="A19" s="2">
        <v>18</v>
      </c>
      <c r="B19" s="2" t="s">
        <v>627</v>
      </c>
      <c r="C19" s="2" t="s">
        <v>576</v>
      </c>
      <c r="D19" s="2" t="s">
        <v>628</v>
      </c>
      <c r="E19" s="2" t="s">
        <v>565</v>
      </c>
      <c r="F19" s="2" t="s">
        <v>629</v>
      </c>
      <c r="G19" s="3">
        <v>95000000</v>
      </c>
      <c r="H19" s="17">
        <v>0</v>
      </c>
      <c r="I19" s="12">
        <f t="shared" si="0"/>
        <v>95000000</v>
      </c>
      <c r="J19" s="4">
        <v>13708791</v>
      </c>
      <c r="K19" s="4">
        <v>5415429</v>
      </c>
      <c r="L19" s="4">
        <v>6848581</v>
      </c>
      <c r="M19" s="12">
        <f t="shared" si="1"/>
        <v>25972801</v>
      </c>
      <c r="N19" s="5">
        <v>13397230</v>
      </c>
      <c r="O19" s="18">
        <f t="shared" si="2"/>
        <v>134370031</v>
      </c>
      <c r="P19" s="25">
        <v>46106</v>
      </c>
      <c r="Q19" s="2" t="s">
        <v>630</v>
      </c>
      <c r="R19" s="2" t="s">
        <v>408</v>
      </c>
      <c r="S19" s="2" t="s">
        <v>631</v>
      </c>
      <c r="T19" s="2" t="s">
        <v>541</v>
      </c>
      <c r="U19" s="2" t="s">
        <v>408</v>
      </c>
      <c r="V19" s="2" t="s">
        <v>596</v>
      </c>
      <c r="W19" s="2" t="s">
        <v>552</v>
      </c>
      <c r="X19" s="2" t="s">
        <v>553</v>
      </c>
      <c r="Y19" s="2" t="s">
        <v>554</v>
      </c>
      <c r="Z19" s="2"/>
    </row>
    <row r="20" spans="1:26" x14ac:dyDescent="0.3">
      <c r="F20" s="14" t="s">
        <v>632</v>
      </c>
      <c r="G20" s="8">
        <f t="shared" ref="G20:O20" si="3">SUM(G2:G19)</f>
        <v>1148000000</v>
      </c>
      <c r="H20" s="8">
        <f t="shared" si="3"/>
        <v>98500000</v>
      </c>
      <c r="I20" s="8">
        <f t="shared" si="3"/>
        <v>1049500000</v>
      </c>
      <c r="J20" s="8">
        <f t="shared" si="3"/>
        <v>112219041</v>
      </c>
      <c r="K20" s="8">
        <f t="shared" si="3"/>
        <v>67981661</v>
      </c>
      <c r="L20" s="8">
        <f t="shared" si="3"/>
        <v>70797524</v>
      </c>
      <c r="M20" s="8">
        <f t="shared" si="3"/>
        <v>250998226</v>
      </c>
      <c r="N20" s="8">
        <f t="shared" si="3"/>
        <v>219684392</v>
      </c>
      <c r="O20" s="8">
        <f t="shared" si="3"/>
        <v>1520182618</v>
      </c>
    </row>
  </sheetData>
  <autoFilter ref="A1:Z2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zoomScaleNormal="100" workbookViewId="0"/>
  </sheetViews>
  <sheetFormatPr defaultColWidth="8.6640625" defaultRowHeight="14.4" x14ac:dyDescent="0.3"/>
  <cols>
    <col min="1" max="1" width="17" customWidth="1"/>
    <col min="2" max="4" width="16" customWidth="1"/>
    <col min="5" max="5" width="20" customWidth="1"/>
    <col min="6" max="6" width="21" customWidth="1"/>
    <col min="7" max="7" width="16" customWidth="1"/>
    <col min="8" max="8" width="23" customWidth="1"/>
    <col min="9" max="9" width="26" customWidth="1"/>
    <col min="10" max="10" width="17" customWidth="1"/>
  </cols>
  <sheetData>
    <row r="1" spans="1:10" ht="28.2" x14ac:dyDescent="0.3">
      <c r="A1" s="19" t="s">
        <v>11</v>
      </c>
      <c r="B1" s="19" t="s">
        <v>506</v>
      </c>
      <c r="C1" s="19" t="s">
        <v>633</v>
      </c>
      <c r="D1" s="19" t="s">
        <v>634</v>
      </c>
      <c r="E1" s="19" t="s">
        <v>508</v>
      </c>
      <c r="F1" s="19" t="s">
        <v>635</v>
      </c>
      <c r="G1" s="19" t="s">
        <v>636</v>
      </c>
      <c r="H1" s="19" t="s">
        <v>637</v>
      </c>
      <c r="I1" s="19" t="s">
        <v>638</v>
      </c>
      <c r="J1" s="19" t="s">
        <v>639</v>
      </c>
    </row>
    <row r="2" spans="1:10" x14ac:dyDescent="0.3">
      <c r="A2" s="2">
        <v>1</v>
      </c>
      <c r="B2" s="10" t="s">
        <v>640</v>
      </c>
      <c r="C2" s="2" t="s">
        <v>641</v>
      </c>
      <c r="D2" s="2" t="s">
        <v>642</v>
      </c>
      <c r="E2" s="3">
        <v>25000000</v>
      </c>
      <c r="F2" s="13">
        <f t="shared" ref="F2:F10" si="0">IF(E$11&gt;0,E2/E$11,0)</f>
        <v>1</v>
      </c>
      <c r="G2" s="13">
        <f>F2</f>
        <v>1</v>
      </c>
      <c r="H2" s="13">
        <v>1</v>
      </c>
      <c r="I2" s="12">
        <f t="shared" ref="I2:I10" si="1">E2*H2</f>
        <v>25000000</v>
      </c>
      <c r="J2" s="5">
        <f t="shared" ref="J2:J10" si="2">E2-I2</f>
        <v>0</v>
      </c>
    </row>
    <row r="3" spans="1:10" x14ac:dyDescent="0.3">
      <c r="A3" s="2">
        <v>2</v>
      </c>
      <c r="B3" s="10" t="s">
        <v>643</v>
      </c>
      <c r="C3" s="2" t="s">
        <v>644</v>
      </c>
      <c r="D3" s="2" t="s">
        <v>645</v>
      </c>
      <c r="E3" s="3">
        <v>0</v>
      </c>
      <c r="F3" s="13">
        <f t="shared" si="0"/>
        <v>0</v>
      </c>
      <c r="G3" s="13">
        <f t="shared" ref="G3:G10" si="3">G2+F3</f>
        <v>1</v>
      </c>
      <c r="H3" s="13">
        <v>0.95</v>
      </c>
      <c r="I3" s="12">
        <f t="shared" si="1"/>
        <v>0</v>
      </c>
      <c r="J3" s="5">
        <f t="shared" si="2"/>
        <v>0</v>
      </c>
    </row>
    <row r="4" spans="1:10" x14ac:dyDescent="0.3">
      <c r="A4" s="2">
        <v>3</v>
      </c>
      <c r="B4" s="10" t="s">
        <v>646</v>
      </c>
      <c r="C4" s="2" t="s">
        <v>647</v>
      </c>
      <c r="D4" s="2" t="s">
        <v>648</v>
      </c>
      <c r="E4" s="3">
        <v>0</v>
      </c>
      <c r="F4" s="13">
        <f t="shared" si="0"/>
        <v>0</v>
      </c>
      <c r="G4" s="13">
        <f t="shared" si="3"/>
        <v>1</v>
      </c>
      <c r="H4" s="13">
        <v>0.45</v>
      </c>
      <c r="I4" s="12">
        <f t="shared" si="1"/>
        <v>0</v>
      </c>
      <c r="J4" s="5">
        <f t="shared" si="2"/>
        <v>0</v>
      </c>
    </row>
    <row r="5" spans="1:10" x14ac:dyDescent="0.3">
      <c r="A5" s="2">
        <v>4</v>
      </c>
      <c r="B5" s="10" t="s">
        <v>649</v>
      </c>
      <c r="C5" s="2" t="s">
        <v>650</v>
      </c>
      <c r="D5" s="2" t="s">
        <v>651</v>
      </c>
      <c r="E5" s="3">
        <v>0</v>
      </c>
      <c r="F5" s="13">
        <f t="shared" si="0"/>
        <v>0</v>
      </c>
      <c r="G5" s="13">
        <f t="shared" si="3"/>
        <v>1</v>
      </c>
      <c r="H5" s="13">
        <v>0.9</v>
      </c>
      <c r="I5" s="12">
        <f t="shared" si="1"/>
        <v>0</v>
      </c>
      <c r="J5" s="5">
        <f t="shared" si="2"/>
        <v>0</v>
      </c>
    </row>
    <row r="6" spans="1:10" x14ac:dyDescent="0.3">
      <c r="A6" s="2">
        <v>5</v>
      </c>
      <c r="B6" s="10" t="s">
        <v>652</v>
      </c>
      <c r="C6" s="2" t="s">
        <v>653</v>
      </c>
      <c r="D6" s="2" t="s">
        <v>654</v>
      </c>
      <c r="E6" s="3">
        <v>0</v>
      </c>
      <c r="F6" s="13">
        <f t="shared" si="0"/>
        <v>0</v>
      </c>
      <c r="G6" s="13">
        <f t="shared" si="3"/>
        <v>1</v>
      </c>
      <c r="H6" s="13">
        <v>0.15</v>
      </c>
      <c r="I6" s="12">
        <f t="shared" si="1"/>
        <v>0</v>
      </c>
      <c r="J6" s="5">
        <f t="shared" si="2"/>
        <v>0</v>
      </c>
    </row>
    <row r="7" spans="1:10" x14ac:dyDescent="0.3">
      <c r="A7" s="2">
        <v>6</v>
      </c>
      <c r="B7" s="10" t="s">
        <v>655</v>
      </c>
      <c r="C7" s="2" t="s">
        <v>656</v>
      </c>
      <c r="D7" s="2" t="s">
        <v>657</v>
      </c>
      <c r="E7" s="3">
        <v>0</v>
      </c>
      <c r="F7" s="13">
        <f t="shared" si="0"/>
        <v>0</v>
      </c>
      <c r="G7" s="13">
        <f t="shared" si="3"/>
        <v>1</v>
      </c>
      <c r="H7" s="13">
        <v>0.1</v>
      </c>
      <c r="I7" s="12">
        <f t="shared" si="1"/>
        <v>0</v>
      </c>
      <c r="J7" s="5">
        <f t="shared" si="2"/>
        <v>0</v>
      </c>
    </row>
    <row r="8" spans="1:10" x14ac:dyDescent="0.3">
      <c r="A8" s="2">
        <v>7</v>
      </c>
      <c r="B8" s="10" t="s">
        <v>658</v>
      </c>
      <c r="C8" s="2" t="s">
        <v>659</v>
      </c>
      <c r="D8" s="2" t="s">
        <v>660</v>
      </c>
      <c r="E8" s="3">
        <v>0</v>
      </c>
      <c r="F8" s="13">
        <f t="shared" si="0"/>
        <v>0</v>
      </c>
      <c r="G8" s="13">
        <f t="shared" si="3"/>
        <v>1</v>
      </c>
      <c r="H8" s="13">
        <v>0.05</v>
      </c>
      <c r="I8" s="12">
        <f t="shared" si="1"/>
        <v>0</v>
      </c>
      <c r="J8" s="5">
        <f t="shared" si="2"/>
        <v>0</v>
      </c>
    </row>
    <row r="9" spans="1:10" x14ac:dyDescent="0.3">
      <c r="A9" s="2">
        <v>8</v>
      </c>
      <c r="B9" s="10" t="s">
        <v>661</v>
      </c>
      <c r="C9" s="2" t="s">
        <v>662</v>
      </c>
      <c r="D9" s="2" t="s">
        <v>663</v>
      </c>
      <c r="E9" s="3">
        <v>0</v>
      </c>
      <c r="F9" s="13">
        <f t="shared" si="0"/>
        <v>0</v>
      </c>
      <c r="G9" s="13">
        <f t="shared" si="3"/>
        <v>1</v>
      </c>
      <c r="H9" s="13">
        <v>0</v>
      </c>
      <c r="I9" s="12">
        <f t="shared" si="1"/>
        <v>0</v>
      </c>
      <c r="J9" s="5">
        <f t="shared" si="2"/>
        <v>0</v>
      </c>
    </row>
    <row r="10" spans="1:10" x14ac:dyDescent="0.3">
      <c r="A10" s="2">
        <v>9</v>
      </c>
      <c r="B10" s="10" t="s">
        <v>664</v>
      </c>
      <c r="C10" s="2" t="s">
        <v>665</v>
      </c>
      <c r="D10" s="2" t="s">
        <v>666</v>
      </c>
      <c r="E10" s="3">
        <v>0</v>
      </c>
      <c r="F10" s="13">
        <f t="shared" si="0"/>
        <v>0</v>
      </c>
      <c r="G10" s="13">
        <f t="shared" si="3"/>
        <v>1</v>
      </c>
      <c r="H10" s="13">
        <v>0</v>
      </c>
      <c r="I10" s="12">
        <f t="shared" si="1"/>
        <v>0</v>
      </c>
      <c r="J10" s="5">
        <f t="shared" si="2"/>
        <v>0</v>
      </c>
    </row>
    <row r="11" spans="1:10" x14ac:dyDescent="0.3">
      <c r="D11" s="14" t="s">
        <v>513</v>
      </c>
      <c r="E11" s="8">
        <f>SUM(E2:E10)</f>
        <v>25000000</v>
      </c>
      <c r="I11" s="8">
        <f>SUM(I2:I10)</f>
        <v>25000000</v>
      </c>
      <c r="J11" s="8">
        <f>SUM(J2:J10)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6" customWidth="1"/>
    <col min="3" max="3" width="17" customWidth="1"/>
    <col min="4" max="4" width="24" customWidth="1"/>
    <col min="5" max="5" width="17" customWidth="1"/>
    <col min="6" max="6" width="18" customWidth="1"/>
    <col min="7" max="7" width="20" customWidth="1"/>
    <col min="8" max="8" width="16" customWidth="1"/>
    <col min="9" max="9" width="24" customWidth="1"/>
    <col min="10" max="11" width="16" customWidth="1"/>
  </cols>
  <sheetData>
    <row r="1" spans="1:11" x14ac:dyDescent="0.3">
      <c r="A1" s="20" t="s">
        <v>0</v>
      </c>
      <c r="B1" s="20" t="s">
        <v>667</v>
      </c>
      <c r="C1" s="20" t="s">
        <v>633</v>
      </c>
      <c r="D1" s="20" t="s">
        <v>668</v>
      </c>
      <c r="E1" s="20" t="s">
        <v>669</v>
      </c>
      <c r="F1" s="20" t="s">
        <v>670</v>
      </c>
      <c r="G1" s="20" t="s">
        <v>671</v>
      </c>
      <c r="H1" s="20" t="s">
        <v>10</v>
      </c>
      <c r="I1" s="20" t="s">
        <v>672</v>
      </c>
      <c r="J1" s="20" t="s">
        <v>673</v>
      </c>
      <c r="K1" s="20" t="s">
        <v>14</v>
      </c>
    </row>
    <row r="2" spans="1:11" x14ac:dyDescent="0.3">
      <c r="A2" s="2">
        <v>1</v>
      </c>
      <c r="B2" s="10" t="s">
        <v>674</v>
      </c>
      <c r="C2" s="2" t="s">
        <v>675</v>
      </c>
      <c r="D2" s="2" t="s">
        <v>179</v>
      </c>
      <c r="E2" s="2" t="s">
        <v>179</v>
      </c>
      <c r="F2" s="2"/>
      <c r="G2" s="2"/>
      <c r="H2" s="21" t="s">
        <v>676</v>
      </c>
      <c r="I2" s="2" t="s">
        <v>677</v>
      </c>
      <c r="J2" s="2"/>
      <c r="K2" s="2"/>
    </row>
    <row r="3" spans="1:11" x14ac:dyDescent="0.3">
      <c r="A3" s="2">
        <v>2</v>
      </c>
      <c r="B3" s="10" t="s">
        <v>678</v>
      </c>
      <c r="C3" s="2" t="s">
        <v>679</v>
      </c>
      <c r="D3" s="2" t="s">
        <v>194</v>
      </c>
      <c r="E3" s="2" t="s">
        <v>191</v>
      </c>
      <c r="F3" s="2"/>
      <c r="G3" s="2"/>
      <c r="H3" s="21" t="s">
        <v>676</v>
      </c>
      <c r="I3" s="2" t="s">
        <v>680</v>
      </c>
      <c r="J3" s="2"/>
      <c r="K3" s="2"/>
    </row>
    <row r="4" spans="1:11" x14ac:dyDescent="0.3">
      <c r="A4" s="2">
        <v>3</v>
      </c>
      <c r="B4" s="10" t="s">
        <v>681</v>
      </c>
      <c r="C4" s="2" t="s">
        <v>682</v>
      </c>
      <c r="D4" s="2" t="s">
        <v>342</v>
      </c>
      <c r="E4" s="2" t="s">
        <v>342</v>
      </c>
      <c r="F4" s="2"/>
      <c r="G4" s="2"/>
      <c r="H4" s="21" t="s">
        <v>676</v>
      </c>
      <c r="I4" s="2" t="s">
        <v>680</v>
      </c>
      <c r="J4" s="2"/>
      <c r="K4" s="2"/>
    </row>
    <row r="5" spans="1:11" x14ac:dyDescent="0.3">
      <c r="A5" s="2">
        <v>4</v>
      </c>
      <c r="B5" s="10" t="s">
        <v>683</v>
      </c>
      <c r="C5" s="2" t="s">
        <v>684</v>
      </c>
      <c r="D5" s="2" t="s">
        <v>685</v>
      </c>
      <c r="E5" s="2" t="s">
        <v>384</v>
      </c>
      <c r="F5" s="2"/>
      <c r="G5" s="2"/>
      <c r="H5" s="21" t="s">
        <v>676</v>
      </c>
      <c r="I5" s="2" t="s">
        <v>680</v>
      </c>
      <c r="J5" s="2"/>
      <c r="K5" s="2"/>
    </row>
    <row r="6" spans="1:11" x14ac:dyDescent="0.3">
      <c r="A6" s="2">
        <v>5</v>
      </c>
      <c r="B6" s="10" t="s">
        <v>686</v>
      </c>
      <c r="C6" s="2" t="s">
        <v>687</v>
      </c>
      <c r="D6" s="2" t="s">
        <v>213</v>
      </c>
      <c r="E6" s="2" t="s">
        <v>213</v>
      </c>
      <c r="F6" s="2"/>
      <c r="G6" s="2"/>
      <c r="H6" s="21" t="s">
        <v>676</v>
      </c>
      <c r="I6" s="2" t="s">
        <v>680</v>
      </c>
      <c r="J6" s="2"/>
      <c r="K6" s="2"/>
    </row>
    <row r="7" spans="1:11" x14ac:dyDescent="0.3">
      <c r="A7" s="2">
        <v>6</v>
      </c>
      <c r="B7" s="10" t="s">
        <v>688</v>
      </c>
      <c r="C7" s="2" t="s">
        <v>689</v>
      </c>
      <c r="D7" s="2" t="s">
        <v>451</v>
      </c>
      <c r="E7" s="2" t="s">
        <v>451</v>
      </c>
      <c r="F7" s="2"/>
      <c r="G7" s="2"/>
      <c r="H7" s="21" t="s">
        <v>676</v>
      </c>
      <c r="I7" s="2" t="s">
        <v>690</v>
      </c>
      <c r="J7" s="2"/>
      <c r="K7" s="2"/>
    </row>
    <row r="8" spans="1:11" x14ac:dyDescent="0.3">
      <c r="A8" s="2">
        <v>7</v>
      </c>
      <c r="B8" s="10" t="s">
        <v>691</v>
      </c>
      <c r="C8" s="2" t="s">
        <v>692</v>
      </c>
      <c r="D8" s="2" t="s">
        <v>395</v>
      </c>
      <c r="E8" s="2" t="s">
        <v>108</v>
      </c>
      <c r="F8" s="2"/>
      <c r="G8" s="2"/>
      <c r="H8" s="21" t="s">
        <v>676</v>
      </c>
      <c r="I8" s="2" t="s">
        <v>690</v>
      </c>
      <c r="J8" s="2"/>
      <c r="K8" s="2"/>
    </row>
    <row r="9" spans="1:11" x14ac:dyDescent="0.3">
      <c r="A9" s="2">
        <v>8</v>
      </c>
      <c r="B9" s="10" t="s">
        <v>693</v>
      </c>
      <c r="C9" s="2" t="s">
        <v>694</v>
      </c>
      <c r="D9" s="2" t="s">
        <v>64</v>
      </c>
      <c r="E9" s="2"/>
      <c r="F9" s="2"/>
      <c r="G9" s="2"/>
      <c r="H9" s="22" t="s">
        <v>695</v>
      </c>
      <c r="I9" s="2" t="s">
        <v>690</v>
      </c>
      <c r="J9" s="2"/>
      <c r="K9" s="2"/>
    </row>
    <row r="10" spans="1:11" x14ac:dyDescent="0.3">
      <c r="A10" s="2">
        <v>9</v>
      </c>
      <c r="B10" s="10" t="s">
        <v>696</v>
      </c>
      <c r="C10" s="2" t="s">
        <v>697</v>
      </c>
      <c r="D10" s="2" t="s">
        <v>36</v>
      </c>
      <c r="E10" s="2"/>
      <c r="F10" s="2"/>
      <c r="G10" s="2"/>
      <c r="H10" s="2" t="s">
        <v>109</v>
      </c>
      <c r="I10" s="2" t="s">
        <v>690</v>
      </c>
      <c r="J10" s="2"/>
      <c r="K10" s="2"/>
    </row>
    <row r="11" spans="1:11" x14ac:dyDescent="0.3">
      <c r="A11" s="2">
        <v>10</v>
      </c>
      <c r="B11" s="10" t="s">
        <v>698</v>
      </c>
      <c r="C11" s="2" t="s">
        <v>699</v>
      </c>
      <c r="D11" s="2" t="s">
        <v>450</v>
      </c>
      <c r="E11" s="2"/>
      <c r="F11" s="2"/>
      <c r="G11" s="2"/>
      <c r="H11" s="2" t="s">
        <v>109</v>
      </c>
      <c r="I11" s="2" t="s">
        <v>700</v>
      </c>
      <c r="J11" s="2"/>
      <c r="K11" s="2"/>
    </row>
    <row r="12" spans="1:11" x14ac:dyDescent="0.3">
      <c r="A12" s="2">
        <v>11</v>
      </c>
      <c r="B12" s="10" t="s">
        <v>701</v>
      </c>
      <c r="C12" s="2" t="s">
        <v>702</v>
      </c>
      <c r="D12" s="2" t="s">
        <v>703</v>
      </c>
      <c r="E12" s="2"/>
      <c r="F12" s="2"/>
      <c r="G12" s="2"/>
      <c r="H12" s="2" t="s">
        <v>109</v>
      </c>
      <c r="I12" s="2" t="s">
        <v>704</v>
      </c>
      <c r="J12" s="2"/>
      <c r="K12" s="2"/>
    </row>
    <row r="13" spans="1:11" x14ac:dyDescent="0.3">
      <c r="A13" s="2">
        <v>12</v>
      </c>
      <c r="B13" s="10" t="s">
        <v>705</v>
      </c>
      <c r="C13" s="2" t="s">
        <v>706</v>
      </c>
      <c r="D13" s="2" t="s">
        <v>707</v>
      </c>
      <c r="E13" s="2"/>
      <c r="F13" s="2"/>
      <c r="G13" s="2"/>
      <c r="H13" s="2" t="s">
        <v>109</v>
      </c>
      <c r="I13" s="2" t="s">
        <v>708</v>
      </c>
      <c r="J13" s="2"/>
      <c r="K13" s="2"/>
    </row>
    <row r="14" spans="1:11" x14ac:dyDescent="0.3">
      <c r="A14" s="2">
        <v>13</v>
      </c>
      <c r="B14" s="10" t="s">
        <v>709</v>
      </c>
      <c r="C14" s="2" t="s">
        <v>710</v>
      </c>
      <c r="D14" s="2" t="s">
        <v>461</v>
      </c>
      <c r="E14" s="2"/>
      <c r="F14" s="2"/>
      <c r="G14" s="2"/>
      <c r="H14" s="2" t="s">
        <v>109</v>
      </c>
      <c r="I14" s="2" t="s">
        <v>711</v>
      </c>
      <c r="J14" s="2"/>
      <c r="K14" s="2"/>
    </row>
    <row r="15" spans="1:11" x14ac:dyDescent="0.3">
      <c r="A15" s="2">
        <v>14</v>
      </c>
      <c r="B15" s="10" t="s">
        <v>712</v>
      </c>
      <c r="C15" s="2" t="s">
        <v>713</v>
      </c>
      <c r="D15" s="2" t="s">
        <v>630</v>
      </c>
      <c r="E15" s="2"/>
      <c r="F15" s="2"/>
      <c r="G15" s="2"/>
      <c r="H15" s="2" t="s">
        <v>109</v>
      </c>
      <c r="I15" s="2" t="s">
        <v>714</v>
      </c>
      <c r="J15" s="2"/>
      <c r="K15" s="2"/>
    </row>
    <row r="16" spans="1:11" x14ac:dyDescent="0.3">
      <c r="A16" s="2">
        <v>15</v>
      </c>
      <c r="B16" s="10" t="s">
        <v>715</v>
      </c>
      <c r="C16" s="2" t="s">
        <v>716</v>
      </c>
      <c r="D16" s="2" t="s">
        <v>703</v>
      </c>
      <c r="E16" s="2"/>
      <c r="F16" s="2"/>
      <c r="G16" s="2"/>
      <c r="H16" s="23" t="s">
        <v>568</v>
      </c>
      <c r="I16" s="2" t="s">
        <v>717</v>
      </c>
      <c r="J16" s="2"/>
      <c r="K16" s="2"/>
    </row>
    <row r="17" spans="1:11" x14ac:dyDescent="0.3">
      <c r="A17" s="2">
        <v>16</v>
      </c>
      <c r="B17" s="10" t="s">
        <v>718</v>
      </c>
      <c r="C17" s="2" t="s">
        <v>719</v>
      </c>
      <c r="D17" s="2" t="s">
        <v>703</v>
      </c>
      <c r="E17" s="2"/>
      <c r="F17" s="2"/>
      <c r="G17" s="2"/>
      <c r="H17" s="2" t="s">
        <v>720</v>
      </c>
      <c r="I17" s="2" t="s">
        <v>690</v>
      </c>
      <c r="J17" s="2"/>
      <c r="K17" s="2"/>
    </row>
    <row r="18" spans="1:11" x14ac:dyDescent="0.3">
      <c r="A18" s="2">
        <v>17</v>
      </c>
      <c r="B18" s="10" t="s">
        <v>721</v>
      </c>
      <c r="C18" s="2" t="s">
        <v>722</v>
      </c>
      <c r="D18" s="2" t="s">
        <v>723</v>
      </c>
      <c r="E18" s="2"/>
      <c r="F18" s="2"/>
      <c r="G18" s="2"/>
      <c r="H18" s="2" t="s">
        <v>720</v>
      </c>
      <c r="I18" s="2" t="s">
        <v>708</v>
      </c>
      <c r="J18" s="2"/>
      <c r="K1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5" width="14" customWidth="1"/>
    <col min="6" max="6" width="15" customWidth="1"/>
    <col min="7" max="9" width="14" customWidth="1"/>
    <col min="10" max="10" width="15" customWidth="1"/>
  </cols>
  <sheetData>
    <row r="1" spans="1:10" x14ac:dyDescent="0.3">
      <c r="A1" s="24" t="s">
        <v>0</v>
      </c>
      <c r="B1" s="24" t="s">
        <v>724</v>
      </c>
      <c r="C1" s="24" t="s">
        <v>725</v>
      </c>
      <c r="D1" s="24" t="s">
        <v>726</v>
      </c>
      <c r="E1" s="24" t="s">
        <v>1</v>
      </c>
      <c r="F1" s="24" t="s">
        <v>727</v>
      </c>
      <c r="G1" s="24" t="s">
        <v>728</v>
      </c>
      <c r="H1" s="24" t="s">
        <v>729</v>
      </c>
      <c r="I1" s="24" t="s">
        <v>730</v>
      </c>
      <c r="J1" s="24" t="s">
        <v>731</v>
      </c>
    </row>
    <row r="2" spans="1:10" x14ac:dyDescent="0.3">
      <c r="A2" s="2">
        <v>1</v>
      </c>
      <c r="B2" s="2" t="s">
        <v>179</v>
      </c>
      <c r="C2" s="2" t="s">
        <v>732</v>
      </c>
      <c r="D2" s="2" t="s">
        <v>733</v>
      </c>
      <c r="E2" s="2" t="s">
        <v>734</v>
      </c>
      <c r="F2" s="2" t="s">
        <v>735</v>
      </c>
      <c r="G2" s="2" t="s">
        <v>541</v>
      </c>
      <c r="H2" s="2" t="s">
        <v>736</v>
      </c>
      <c r="I2" s="2" t="s">
        <v>710</v>
      </c>
      <c r="J2" s="2" t="s">
        <v>677</v>
      </c>
    </row>
    <row r="3" spans="1:10" x14ac:dyDescent="0.3">
      <c r="A3" s="2">
        <v>2</v>
      </c>
      <c r="B3" s="2" t="s">
        <v>191</v>
      </c>
      <c r="C3" s="2" t="s">
        <v>737</v>
      </c>
      <c r="D3" s="2" t="s">
        <v>738</v>
      </c>
      <c r="E3" s="2" t="s">
        <v>734</v>
      </c>
      <c r="F3" s="2" t="s">
        <v>680</v>
      </c>
      <c r="G3" s="2" t="s">
        <v>739</v>
      </c>
      <c r="H3" s="2" t="s">
        <v>740</v>
      </c>
      <c r="I3" s="2" t="s">
        <v>741</v>
      </c>
      <c r="J3" s="2" t="s">
        <v>742</v>
      </c>
    </row>
    <row r="4" spans="1:10" x14ac:dyDescent="0.3">
      <c r="A4" s="2">
        <v>3</v>
      </c>
      <c r="B4" s="2" t="s">
        <v>342</v>
      </c>
      <c r="C4" s="2" t="s">
        <v>743</v>
      </c>
      <c r="D4" s="2" t="s">
        <v>744</v>
      </c>
      <c r="E4" s="2" t="s">
        <v>734</v>
      </c>
      <c r="F4" s="2" t="s">
        <v>735</v>
      </c>
      <c r="G4" s="2" t="s">
        <v>745</v>
      </c>
      <c r="H4" s="2" t="s">
        <v>746</v>
      </c>
      <c r="I4" s="2" t="s">
        <v>747</v>
      </c>
      <c r="J4" s="2" t="s">
        <v>680</v>
      </c>
    </row>
    <row r="5" spans="1:10" x14ac:dyDescent="0.3">
      <c r="A5" s="2">
        <v>4</v>
      </c>
      <c r="B5" s="2" t="s">
        <v>359</v>
      </c>
      <c r="C5" s="2" t="s">
        <v>748</v>
      </c>
      <c r="D5" s="2" t="s">
        <v>749</v>
      </c>
      <c r="E5" s="2" t="s">
        <v>16</v>
      </c>
      <c r="F5" s="2" t="s">
        <v>680</v>
      </c>
      <c r="G5" s="2" t="s">
        <v>750</v>
      </c>
      <c r="H5" s="2" t="s">
        <v>751</v>
      </c>
      <c r="I5" s="2" t="s">
        <v>752</v>
      </c>
      <c r="J5" s="2" t="s">
        <v>753</v>
      </c>
    </row>
    <row r="6" spans="1:10" x14ac:dyDescent="0.3">
      <c r="A6" s="2">
        <v>5</v>
      </c>
      <c r="B6" s="2" t="s">
        <v>384</v>
      </c>
      <c r="C6" s="2" t="s">
        <v>754</v>
      </c>
      <c r="D6" s="2" t="s">
        <v>755</v>
      </c>
      <c r="E6" s="2" t="s">
        <v>756</v>
      </c>
      <c r="F6" s="2" t="s">
        <v>680</v>
      </c>
      <c r="G6" s="2" t="s">
        <v>757</v>
      </c>
      <c r="H6" s="2" t="s">
        <v>758</v>
      </c>
      <c r="I6" s="2" t="s">
        <v>759</v>
      </c>
      <c r="J6" s="2" t="s">
        <v>680</v>
      </c>
    </row>
    <row r="7" spans="1:10" x14ac:dyDescent="0.3">
      <c r="A7" s="2">
        <v>6</v>
      </c>
      <c r="B7" s="2" t="s">
        <v>213</v>
      </c>
      <c r="C7" s="2" t="s">
        <v>760</v>
      </c>
      <c r="D7" s="2" t="s">
        <v>761</v>
      </c>
      <c r="E7" s="2" t="s">
        <v>541</v>
      </c>
      <c r="F7" s="2" t="s">
        <v>690</v>
      </c>
      <c r="G7" s="2" t="s">
        <v>541</v>
      </c>
      <c r="H7" s="2" t="s">
        <v>762</v>
      </c>
      <c r="I7" s="2" t="s">
        <v>687</v>
      </c>
      <c r="J7" s="2" t="s">
        <v>708</v>
      </c>
    </row>
    <row r="8" spans="1:10" x14ac:dyDescent="0.3">
      <c r="A8" s="2">
        <v>7</v>
      </c>
      <c r="B8" s="2" t="s">
        <v>395</v>
      </c>
      <c r="C8" s="2" t="s">
        <v>763</v>
      </c>
      <c r="D8" s="2" t="s">
        <v>764</v>
      </c>
      <c r="E8" s="2" t="s">
        <v>392</v>
      </c>
      <c r="F8" s="2" t="s">
        <v>690</v>
      </c>
      <c r="G8" s="2" t="s">
        <v>541</v>
      </c>
      <c r="H8" s="2" t="s">
        <v>765</v>
      </c>
      <c r="I8" s="2" t="s">
        <v>766</v>
      </c>
      <c r="J8" s="2" t="s">
        <v>690</v>
      </c>
    </row>
    <row r="9" spans="1:10" x14ac:dyDescent="0.3">
      <c r="A9" s="2">
        <v>8</v>
      </c>
      <c r="B9" s="2" t="s">
        <v>403</v>
      </c>
      <c r="C9" s="2" t="s">
        <v>767</v>
      </c>
      <c r="D9" s="2" t="s">
        <v>768</v>
      </c>
      <c r="E9" s="2" t="s">
        <v>400</v>
      </c>
      <c r="F9" s="2" t="s">
        <v>690</v>
      </c>
      <c r="G9" s="2" t="s">
        <v>541</v>
      </c>
      <c r="H9" s="2" t="s">
        <v>769</v>
      </c>
      <c r="I9" s="2" t="s">
        <v>770</v>
      </c>
      <c r="J9" s="2" t="s">
        <v>690</v>
      </c>
    </row>
    <row r="10" spans="1:10" x14ac:dyDescent="0.3">
      <c r="A10" s="2">
        <v>9</v>
      </c>
      <c r="B10" s="2" t="s">
        <v>316</v>
      </c>
      <c r="C10" s="2" t="s">
        <v>771</v>
      </c>
      <c r="D10" s="2" t="s">
        <v>772</v>
      </c>
      <c r="E10" s="2" t="s">
        <v>404</v>
      </c>
      <c r="F10" s="2" t="s">
        <v>690</v>
      </c>
      <c r="G10" s="2" t="s">
        <v>541</v>
      </c>
      <c r="H10" s="2" t="s">
        <v>773</v>
      </c>
      <c r="I10" s="2" t="s">
        <v>774</v>
      </c>
      <c r="J10" s="2" t="s">
        <v>690</v>
      </c>
    </row>
    <row r="11" spans="1:10" x14ac:dyDescent="0.3">
      <c r="A11" s="2">
        <v>10</v>
      </c>
      <c r="B11" s="2" t="s">
        <v>73</v>
      </c>
      <c r="C11" s="2" t="s">
        <v>775</v>
      </c>
      <c r="D11" s="2" t="s">
        <v>776</v>
      </c>
      <c r="E11" s="2" t="s">
        <v>409</v>
      </c>
      <c r="F11" s="2" t="s">
        <v>777</v>
      </c>
      <c r="G11" s="2" t="s">
        <v>541</v>
      </c>
      <c r="H11" s="2" t="s">
        <v>778</v>
      </c>
      <c r="I11" s="2" t="s">
        <v>779</v>
      </c>
      <c r="J11" s="2" t="s">
        <v>690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Master_Claims_Register</vt:lpstr>
      <vt:lpstr>Category_Summary</vt:lpstr>
      <vt:lpstr>IT_Department_Detail</vt:lpstr>
      <vt:lpstr>Priority_Waterfall</vt:lpstr>
      <vt:lpstr>CIRP_Timeline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rahulkumar2021india@gmail.com</cp:lastModifiedBy>
  <cp:revision>0</cp:revision>
  <dcterms:created xsi:type="dcterms:W3CDTF">2026-03-23T11:22:05Z</dcterms:created>
  <dcterms:modified xsi:type="dcterms:W3CDTF">2026-03-23T12:14:17Z</dcterms:modified>
  <dc:language>en-US</dc:language>
</cp:coreProperties>
</file>